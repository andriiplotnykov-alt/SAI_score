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plotn\Downloads\"/>
    </mc:Choice>
  </mc:AlternateContent>
  <xr:revisionPtr revIDLastSave="0" documentId="13_ncr:1_{FE80B076-F172-459A-B738-184619859C8E}" xr6:coauthVersionLast="47" xr6:coauthVersionMax="47" xr10:uidLastSave="{00000000-0000-0000-0000-000000000000}"/>
  <bookViews>
    <workbookView xWindow="-110" yWindow="-110" windowWidth="19420" windowHeight="11500" xr2:uid="{8974BF17-CC9E-49DE-9C4B-58D86C3BAD2B}"/>
  </bookViews>
  <sheets>
    <sheet name="Admin_Inputs" sheetId="1" r:id="rId1"/>
    <sheet name="Setup" sheetId="3" r:id="rId2"/>
    <sheet name="LBO_Temp" sheetId="7" r:id="rId3"/>
    <sheet name="dim_company" sheetId="6" r:id="rId4"/>
    <sheet name="country_tax" sheetId="9" r:id="rId5"/>
    <sheet name="sector_benchmarks" sheetId="8" r:id="rId6"/>
  </sheets>
  <definedNames>
    <definedName name="ExternalData_2" localSheetId="3" hidden="1">dim_company!$A$1:$AK$169</definedName>
    <definedName name="ExternalData_3" localSheetId="5" hidden="1">sector_benchmarks!$A$1:$H$12</definedName>
    <definedName name="ExternalData_4" localSheetId="4" hidden="1">country_tax!$A$1:$B$19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F4" i="1"/>
  <c r="J10" i="7"/>
  <c r="J56" i="7" s="1"/>
  <c r="E5" i="3"/>
  <c r="J5" i="1" s="1"/>
  <c r="J17" i="7" s="1"/>
  <c r="K50" i="7" s="1"/>
  <c r="L50" i="7" s="1"/>
  <c r="M50" i="7" s="1"/>
  <c r="N50" i="7" s="1"/>
  <c r="O50" i="7" s="1"/>
  <c r="E4" i="3"/>
  <c r="F7" i="1" s="1"/>
  <c r="J8" i="7"/>
  <c r="J11" i="7"/>
  <c r="J63" i="7" s="1"/>
  <c r="E10" i="3"/>
  <c r="F24" i="7"/>
  <c r="B24" i="7"/>
  <c r="F23" i="7"/>
  <c r="B23" i="7"/>
  <c r="B4" i="1" l="1"/>
  <c r="E8" i="7" s="1"/>
  <c r="J15" i="7"/>
  <c r="E13" i="7"/>
  <c r="M26" i="7" s="1"/>
  <c r="F5" i="1"/>
  <c r="J35" i="7"/>
  <c r="J64" i="7" s="1"/>
  <c r="K64" i="7" s="1"/>
  <c r="L64" i="7" s="1"/>
  <c r="K36" i="7" l="1"/>
  <c r="E16" i="7"/>
  <c r="O98" i="7" s="1"/>
  <c r="J7" i="1"/>
  <c r="J57" i="7"/>
  <c r="K57" i="7" s="1"/>
  <c r="L57" i="7" s="1"/>
  <c r="M64" i="7"/>
  <c r="L36" i="7" l="1"/>
  <c r="M36" i="7" s="1"/>
  <c r="N36" i="7" s="1"/>
  <c r="O36" i="7" s="1"/>
  <c r="K35" i="7"/>
  <c r="K63" i="7" s="1"/>
  <c r="K69" i="7" s="1"/>
  <c r="M57" i="7"/>
  <c r="N57" i="7" s="1"/>
  <c r="N64" i="7"/>
  <c r="K56" i="7" l="1"/>
  <c r="K68" i="7" s="1"/>
  <c r="L35" i="7"/>
  <c r="O57" i="7"/>
  <c r="O64" i="7"/>
  <c r="M35" i="7" l="1"/>
  <c r="L56" i="7"/>
  <c r="L68" i="7" s="1"/>
  <c r="L63" i="7"/>
  <c r="L69" i="7" s="1"/>
  <c r="E9" i="3"/>
  <c r="F6" i="1" s="1"/>
  <c r="E7" i="3"/>
  <c r="E10" i="7" s="1"/>
  <c r="M23" i="7" s="1"/>
  <c r="E6" i="3"/>
  <c r="E3" i="3"/>
  <c r="C2" i="7" s="1"/>
  <c r="N35" i="7" l="1"/>
  <c r="M63" i="7"/>
  <c r="M69" i="7" s="1"/>
  <c r="M56" i="7"/>
  <c r="M68" i="7" s="1"/>
  <c r="J12" i="7"/>
  <c r="J59" i="7" s="1"/>
  <c r="J60" i="7" s="1"/>
  <c r="K60" i="7" s="1"/>
  <c r="J9" i="7"/>
  <c r="O35" i="7" l="1"/>
  <c r="N56" i="7"/>
  <c r="N68" i="7" s="1"/>
  <c r="N63" i="7"/>
  <c r="N69" i="7" s="1"/>
  <c r="J38" i="7"/>
  <c r="E24" i="7"/>
  <c r="E7" i="7"/>
  <c r="E9" i="7" s="1"/>
  <c r="E11" i="7" s="1"/>
  <c r="M24" i="7" s="1"/>
  <c r="E23" i="7"/>
  <c r="N26" i="7"/>
  <c r="N23" i="7"/>
  <c r="L60" i="7"/>
  <c r="K59" i="7"/>
  <c r="K61" i="7" s="1"/>
  <c r="K70" i="7" s="1"/>
  <c r="O56" i="7" l="1"/>
  <c r="O68" i="7" s="1"/>
  <c r="O63" i="7"/>
  <c r="O69" i="7" s="1"/>
  <c r="L59" i="7"/>
  <c r="L61" i="7" s="1"/>
  <c r="L70" i="7" s="1"/>
  <c r="M60" i="7"/>
  <c r="J81" i="7"/>
  <c r="E25" i="7"/>
  <c r="M29" i="7"/>
  <c r="O24" i="7" s="1"/>
  <c r="N24" i="7"/>
  <c r="N29" i="7" s="1"/>
  <c r="J87" i="7"/>
  <c r="K84" i="7" s="1"/>
  <c r="K85" i="7" s="1"/>
  <c r="J41" i="7"/>
  <c r="J42" i="7" s="1"/>
  <c r="J39" i="7"/>
  <c r="K39" i="7" s="1"/>
  <c r="L39" i="7" l="1"/>
  <c r="K38" i="7"/>
  <c r="K41" i="7" s="1"/>
  <c r="K42" i="7" s="1"/>
  <c r="F25" i="7"/>
  <c r="K78" i="7"/>
  <c r="J93" i="7"/>
  <c r="N60" i="7"/>
  <c r="M59" i="7"/>
  <c r="M61" i="7" s="1"/>
  <c r="M70" i="7" s="1"/>
  <c r="O23" i="7"/>
  <c r="O29" i="7"/>
  <c r="E29" i="7"/>
  <c r="O26" i="7"/>
  <c r="K79" i="7" l="1"/>
  <c r="K91" i="7" s="1"/>
  <c r="K44" i="7" s="1"/>
  <c r="K46" i="7" s="1"/>
  <c r="K90" i="7"/>
  <c r="E27" i="7"/>
  <c r="F29" i="7"/>
  <c r="G29" i="7"/>
  <c r="G23" i="7"/>
  <c r="G24" i="7"/>
  <c r="N59" i="7"/>
  <c r="N61" i="7" s="1"/>
  <c r="N70" i="7" s="1"/>
  <c r="O60" i="7"/>
  <c r="O59" i="7" s="1"/>
  <c r="G25" i="7"/>
  <c r="L38" i="7"/>
  <c r="L41" i="7" s="1"/>
  <c r="L42" i="7" s="1"/>
  <c r="M39" i="7"/>
  <c r="O61" i="7" l="1"/>
  <c r="O70" i="7" s="1"/>
  <c r="O103" i="7"/>
  <c r="F27" i="7"/>
  <c r="G27" i="7"/>
  <c r="N39" i="7"/>
  <c r="M38" i="7"/>
  <c r="M41" i="7" s="1"/>
  <c r="M42" i="7" s="1"/>
  <c r="K47" i="7"/>
  <c r="K49" i="7"/>
  <c r="K52" i="7" s="1"/>
  <c r="K53" i="7" l="1"/>
  <c r="K67" i="7"/>
  <c r="K71" i="7" s="1"/>
  <c r="O39" i="7"/>
  <c r="O38" i="7" s="1"/>
  <c r="N38" i="7"/>
  <c r="N41" i="7" s="1"/>
  <c r="N42" i="7" s="1"/>
  <c r="O97" i="7" l="1"/>
  <c r="O99" i="7" s="1"/>
  <c r="O41" i="7"/>
  <c r="O42" i="7" s="1"/>
  <c r="K80" i="7"/>
  <c r="K86" i="7" s="1"/>
  <c r="K87" i="7" s="1"/>
  <c r="L84" i="7" s="1"/>
  <c r="L85" i="7" s="1"/>
  <c r="K92" i="7" l="1"/>
  <c r="K81" i="7"/>
  <c r="L78" i="7" l="1"/>
  <c r="K93" i="7"/>
  <c r="L90" i="7" l="1"/>
  <c r="L79" i="7"/>
  <c r="L91" i="7" s="1"/>
  <c r="L44" i="7" s="1"/>
  <c r="L46" i="7" s="1"/>
  <c r="L49" i="7" l="1"/>
  <c r="L52" i="7" s="1"/>
  <c r="L47" i="7"/>
  <c r="L67" i="7" l="1"/>
  <c r="L71" i="7" s="1"/>
  <c r="L53" i="7"/>
  <c r="L80" i="7" l="1"/>
  <c r="L81" i="7" l="1"/>
  <c r="L86" i="7"/>
  <c r="L87" i="7" s="1"/>
  <c r="M84" i="7" s="1"/>
  <c r="M85" i="7" s="1"/>
  <c r="L92" i="7" l="1"/>
  <c r="L93" i="7"/>
  <c r="M78" i="7"/>
  <c r="M90" i="7" l="1"/>
  <c r="M79" i="7"/>
  <c r="M91" i="7" s="1"/>
  <c r="M44" i="7" s="1"/>
  <c r="M46" i="7" s="1"/>
  <c r="M49" i="7" l="1"/>
  <c r="M52" i="7" s="1"/>
  <c r="M47" i="7"/>
  <c r="M53" i="7" l="1"/>
  <c r="M67" i="7"/>
  <c r="M71" i="7" s="1"/>
  <c r="M80" i="7" s="1"/>
  <c r="M86" i="7" l="1"/>
  <c r="M87" i="7" s="1"/>
  <c r="N84" i="7" s="1"/>
  <c r="N85" i="7" s="1"/>
  <c r="M81" i="7"/>
  <c r="M92" i="7" l="1"/>
  <c r="M93" i="7"/>
  <c r="N78" i="7"/>
  <c r="N79" i="7" l="1"/>
  <c r="N91" i="7" s="1"/>
  <c r="N44" i="7" s="1"/>
  <c r="N46" i="7" s="1"/>
  <c r="N90" i="7"/>
  <c r="N47" i="7" l="1"/>
  <c r="N49" i="7"/>
  <c r="N52" i="7" s="1"/>
  <c r="N53" i="7" l="1"/>
  <c r="N67" i="7"/>
  <c r="N71" i="7" s="1"/>
  <c r="N80" i="7" s="1"/>
  <c r="N86" i="7" l="1"/>
  <c r="N87" i="7" s="1"/>
  <c r="O84" i="7" s="1"/>
  <c r="O85" i="7" s="1"/>
  <c r="N81" i="7"/>
  <c r="N93" i="7" l="1"/>
  <c r="O78" i="7"/>
  <c r="N92" i="7"/>
  <c r="O90" i="7" l="1"/>
  <c r="O79" i="7"/>
  <c r="O91" i="7" s="1"/>
  <c r="O44" i="7" s="1"/>
  <c r="O46" i="7" s="1"/>
  <c r="O47" i="7" l="1"/>
  <c r="O49" i="7"/>
  <c r="O52" i="7" s="1"/>
  <c r="O67" i="7" l="1"/>
  <c r="O71" i="7" s="1"/>
  <c r="O80" i="7" s="1"/>
  <c r="O53" i="7"/>
  <c r="O86" i="7" l="1"/>
  <c r="O87" i="7" s="1"/>
  <c r="O81" i="7"/>
  <c r="O93" i="7" l="1"/>
  <c r="O100" i="7" s="1"/>
  <c r="O101" i="7" s="1"/>
  <c r="O105" i="7" s="1"/>
  <c r="O106" i="7" s="1"/>
  <c r="O11" i="7" s="1"/>
  <c r="O9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13B6AD-D864-42C7-B0F1-D35DE78C9033}" keepAlive="1" name="Query - lbo_db calculated_scores" description="Connection to the 'lbo_db calculated_scores' query in the workbook." type="5" refreshedVersion="8" background="1" saveData="1">
    <dbPr connection="Provider=Microsoft.Mashup.OleDb.1;Data Source=$Workbook$;Location=&quot;lbo_db calculated_scores&quot;;Extended Properties=&quot;&quot;" command="SELECT * FROM [lbo_db calculated_scores]"/>
  </connection>
  <connection id="2" xr16:uid="{7C1FB9EC-D26E-4D2C-8A16-352BE7B78629}" keepAlive="1" name="Query - lbo_db dim_company" description="Connection to the 'lbo_db dim_company' query in the workbook." type="5" refreshedVersion="8" background="1" saveData="1">
    <dbPr connection="Provider=Microsoft.Mashup.OleDb.1;Data Source=$Workbook$;Location=&quot;lbo_db dim_company&quot;;Extended Properties=&quot;&quot;" command="SELECT * FROM [lbo_db dim_company]"/>
  </connection>
  <connection id="3" xr16:uid="{CAA5D3D4-1BA3-4D04-8B92-70DCE357ABF5}" keepAlive="1" name="Query - lbo_db fact_financials" description="Connection to the 'lbo_db fact_financials' query in the workbook." type="5" refreshedVersion="8" background="1" saveData="1">
    <dbPr connection="Provider=Microsoft.Mashup.OleDb.1;Data Source=$Workbook$;Location=&quot;lbo_db fact_financials&quot;;Extended Properties=&quot;&quot;" command="SELECT * FROM [lbo_db fact_financials]"/>
  </connection>
  <connection id="4" xr16:uid="{F8C5AC75-CAF8-4260-9C7E-1A64B35EC872}" keepAlive="1" name="Query - lbo_db fact_financials (2)" description="Connection to the 'lbo_db fact_financials (2)' query in the workbook." type="5" refreshedVersion="8" background="1" saveData="1">
    <dbPr connection="Provider=Microsoft.Mashup.OleDb.1;Data Source=$Workbook$;Location=&quot;lbo_db fact_financials (2)&quot;;Extended Properties=&quot;&quot;" command="SELECT * FROM [lbo_db fact_financials (2)]"/>
  </connection>
  <connection id="5" xr16:uid="{D99B6B16-4A6B-45EB-B9BF-9D6B84AF16E7}" keepAlive="1" name="Query - lbo_db fact_market_data" description="Connection to the 'lbo_db fact_market_data' query in the workbook." type="5" refreshedVersion="8" background="1" saveData="1">
    <dbPr connection="Provider=Microsoft.Mashup.OleDb.1;Data Source=$Workbook$;Location=&quot;lbo_db fact_market_data&quot;;Extended Properties=&quot;&quot;" command="SELECT * FROM [lbo_db fact_market_data]"/>
  </connection>
  <connection id="6" xr16:uid="{13092BEA-69B0-4C29-9CFE-34A4E973D346}" keepAlive="1" name="Query - lbo_db lbo_extra_metrics" description="Connection to the 'lbo_db lbo_extra_metrics' query in the workbook." type="5" refreshedVersion="0" background="1">
    <dbPr connection="Provider=Microsoft.Mashup.OleDb.1;Data Source=$Workbook$;Location=&quot;lbo_db lbo_extra_metrics&quot;;Extended Properties=&quot;&quot;" command="SELECT * FROM [lbo_db lbo_extra_metrics]"/>
  </connection>
  <connection id="7" xr16:uid="{8B6BD4D2-FD52-4654-AC63-16546D4D8638}" keepAlive="1" name="Query - lbo_db ref_country_tax" description="Connection to the 'lbo_db ref_country_tax' query in the workbook." type="5" refreshedVersion="8" background="1" saveData="1">
    <dbPr connection="Provider=Microsoft.Mashup.OleDb.1;Data Source=$Workbook$;Location=&quot;lbo_db ref_country_tax&quot;;Extended Properties=&quot;&quot;" command="SELECT * FROM [lbo_db ref_country_tax]"/>
  </connection>
  <connection id="8" xr16:uid="{4AC889A5-3468-4A1B-9BCB-C25D40941101}" keepAlive="1" name="Query - lbo_db ref_sector_benchmarks (2)" description="Connection to the 'lbo_db ref_sector_benchmarks (2)' query in the workbook." type="5" refreshedVersion="8" background="1" saveData="1">
    <dbPr connection="Provider=Microsoft.Mashup.OleDb.1;Data Source=$Workbook$;Location=&quot;lbo_db ref_sector_benchmarks (2)&quot;;Extended Properties=&quot;&quot;" command="SELECT * FROM [lbo_db ref_sector_benchmarks (2)]"/>
  </connection>
  <connection id="9" xr16:uid="{AF49B7F3-E2CE-4319-9999-0068581E4607}" keepAlive="1" name="Query - lbo_db temp_sai_v2" description="Connection to the 'lbo_db temp_sai_v2' query in the workbook." type="5" refreshedVersion="8" background="1" saveData="1">
    <dbPr connection="Provider=Microsoft.Mashup.OleDb.1;Data Source=$Workbook$;Location=&quot;lbo_db temp_sai_v2&quot;;Extended Properties=&quot;&quot;" command="SELECT * FROM [lbo_db temp_sai_v2]"/>
  </connection>
</connections>
</file>

<file path=xl/sharedStrings.xml><?xml version="1.0" encoding="utf-8"?>
<sst xmlns="http://schemas.openxmlformats.org/spreadsheetml/2006/main" count="905" uniqueCount="511">
  <si>
    <t>Company_ID</t>
  </si>
  <si>
    <t>Fiscal_Year</t>
  </si>
  <si>
    <t>Revenue</t>
  </si>
  <si>
    <t>EBITDA</t>
  </si>
  <si>
    <t>EBIT</t>
  </si>
  <si>
    <t>Net_Income</t>
  </si>
  <si>
    <t>Total_Assets</t>
  </si>
  <si>
    <t>Total_Debt</t>
  </si>
  <si>
    <t>Cash</t>
  </si>
  <si>
    <t>Capex</t>
  </si>
  <si>
    <t>symbol</t>
  </si>
  <si>
    <t>name</t>
  </si>
  <si>
    <t>sector</t>
  </si>
  <si>
    <t>country</t>
  </si>
  <si>
    <t>market_cap</t>
  </si>
  <si>
    <t>ebitda_margin</t>
  </si>
  <si>
    <t>fcf_yield</t>
  </si>
  <si>
    <t>net_debt_ebitda</t>
  </si>
  <si>
    <t>capex_intensity</t>
  </si>
  <si>
    <t>dscr</t>
  </si>
  <si>
    <t>ev_ebitda</t>
  </si>
  <si>
    <t>Net_Debt</t>
  </si>
  <si>
    <t>Date</t>
  </si>
  <si>
    <t>Share_Price</t>
  </si>
  <si>
    <t>Shares_Outstanding</t>
  </si>
  <si>
    <t>LBO_Score</t>
  </si>
  <si>
    <t>Op_Efficiency_Score</t>
  </si>
  <si>
    <t>Deep_Value_Score</t>
  </si>
  <si>
    <t>Bankruptcy_Risk_AltmanZ</t>
  </si>
  <si>
    <t>JUN3.DE</t>
  </si>
  <si>
    <t>Jungheinrich Aktiengesellschaft</t>
  </si>
  <si>
    <t>Industrials</t>
  </si>
  <si>
    <t>Germany</t>
  </si>
  <si>
    <t>VIS.MC</t>
  </si>
  <si>
    <t>Viscofan, S.A.</t>
  </si>
  <si>
    <t>Consumer Cyclical</t>
  </si>
  <si>
    <t>Spain</t>
  </si>
  <si>
    <t>GRG.L</t>
  </si>
  <si>
    <t>Greggs plc</t>
  </si>
  <si>
    <t>United Kingdom</t>
  </si>
  <si>
    <t>UBI.PA</t>
  </si>
  <si>
    <t>Ubisoft Entertainment SA</t>
  </si>
  <si>
    <t>Communication Services</t>
  </si>
  <si>
    <t>France</t>
  </si>
  <si>
    <t>DEQ.DE</t>
  </si>
  <si>
    <t>Deutsche EuroShop AG</t>
  </si>
  <si>
    <t>Real Estate</t>
  </si>
  <si>
    <t>AMP.MI</t>
  </si>
  <si>
    <t>Amplifon S.p.A.</t>
  </si>
  <si>
    <t>Healthcare</t>
  </si>
  <si>
    <t>Italy</t>
  </si>
  <si>
    <t>IRE.MI</t>
  </si>
  <si>
    <t>Iren SpA</t>
  </si>
  <si>
    <t>Utilities</t>
  </si>
  <si>
    <t>JUVE.MI</t>
  </si>
  <si>
    <t>Juventus Football Club S.p.A.</t>
  </si>
  <si>
    <t>BME.L</t>
  </si>
  <si>
    <t>B&amp;M European Value Retail S.A.</t>
  </si>
  <si>
    <t>Consumer Defensive</t>
  </si>
  <si>
    <t>Luxembourg</t>
  </si>
  <si>
    <t>ASHM.L</t>
  </si>
  <si>
    <t>Ashmore Group Plc</t>
  </si>
  <si>
    <t>Financial Services</t>
  </si>
  <si>
    <t>DIA.MI</t>
  </si>
  <si>
    <t>DiaSorin S.p.A.</t>
  </si>
  <si>
    <t>GNS.L</t>
  </si>
  <si>
    <t>Genus plc</t>
  </si>
  <si>
    <t>COFB.BR</t>
  </si>
  <si>
    <t>Cofinimmo SA</t>
  </si>
  <si>
    <t>Belgium</t>
  </si>
  <si>
    <t>VOS.DE</t>
  </si>
  <si>
    <t>Vossloh AG</t>
  </si>
  <si>
    <t>JDW.L</t>
  </si>
  <si>
    <t>J D Wetherspoon plc</t>
  </si>
  <si>
    <t>SBT.PA</t>
  </si>
  <si>
    <t>Oeneo SA</t>
  </si>
  <si>
    <t>GPE.L</t>
  </si>
  <si>
    <t>Great Portland Estates Plc</t>
  </si>
  <si>
    <t>VIRP.PA</t>
  </si>
  <si>
    <t>Virbac SA</t>
  </si>
  <si>
    <t>BSLN.SW</t>
  </si>
  <si>
    <t>Basilea Pharmaceutica AG</t>
  </si>
  <si>
    <t>Switzerland</t>
  </si>
  <si>
    <t>TRE.MC</t>
  </si>
  <si>
    <t>Técnicas Reunidas, S.A.</t>
  </si>
  <si>
    <t>FAN.L</t>
  </si>
  <si>
    <t>Volution Group plc</t>
  </si>
  <si>
    <t>BOSS.DE</t>
  </si>
  <si>
    <t>Hugo Boss AG</t>
  </si>
  <si>
    <t>SMHN.DE</t>
  </si>
  <si>
    <t>SUSS MicroTec SE</t>
  </si>
  <si>
    <t>Technology</t>
  </si>
  <si>
    <t>TRN.L</t>
  </si>
  <si>
    <t>Trainline plc</t>
  </si>
  <si>
    <t>PROX.BR</t>
  </si>
  <si>
    <t>Proximus PLC</t>
  </si>
  <si>
    <t>PSM.DE</t>
  </si>
  <si>
    <t>ProSiebenSat.1 Media SE</t>
  </si>
  <si>
    <t>ATO.PA</t>
  </si>
  <si>
    <t>Atos SE</t>
  </si>
  <si>
    <t>RMV.L</t>
  </si>
  <si>
    <t>Rightmove plc</t>
  </si>
  <si>
    <t>MEL.MC</t>
  </si>
  <si>
    <t>Meliá Hotels International, S.A.</t>
  </si>
  <si>
    <t>SOLB.BR</t>
  </si>
  <si>
    <t>Solvay SA</t>
  </si>
  <si>
    <t>Basic Materials</t>
  </si>
  <si>
    <t>IMCD.AS</t>
  </si>
  <si>
    <t>IMCD N.V.</t>
  </si>
  <si>
    <t>Netherlands</t>
  </si>
  <si>
    <t>TEP.PA</t>
  </si>
  <si>
    <t>Teleperformance SE</t>
  </si>
  <si>
    <t>COL.MC</t>
  </si>
  <si>
    <t>Colonial SFL, Socimi S. A.</t>
  </si>
  <si>
    <t>TFI.PA</t>
  </si>
  <si>
    <t>TF1 SA</t>
  </si>
  <si>
    <t>ADV.DE</t>
  </si>
  <si>
    <t>Adtran Networks SE</t>
  </si>
  <si>
    <t>SCYR.MC</t>
  </si>
  <si>
    <t>Sacyr, S.A.</t>
  </si>
  <si>
    <t>DOM.L</t>
  </si>
  <si>
    <t>Domino's Pizza Group plc</t>
  </si>
  <si>
    <t>DLN.L</t>
  </si>
  <si>
    <t>Derwent London Plc</t>
  </si>
  <si>
    <t>PUM.DE</t>
  </si>
  <si>
    <t>PUMA SE</t>
  </si>
  <si>
    <t>OCI.AS</t>
  </si>
  <si>
    <t>OCI N.V.</t>
  </si>
  <si>
    <t>SSPG.L</t>
  </si>
  <si>
    <t>SSP Group plc</t>
  </si>
  <si>
    <t>SK.PA</t>
  </si>
  <si>
    <t>SEB SA</t>
  </si>
  <si>
    <t>AFX.DE</t>
  </si>
  <si>
    <t>Carl Zeiss Meditec AG</t>
  </si>
  <si>
    <t>IWG.L</t>
  </si>
  <si>
    <t>International Workplace Group plc</t>
  </si>
  <si>
    <t>FNAC.PA</t>
  </si>
  <si>
    <t>Fnac Darty SA</t>
  </si>
  <si>
    <t>OCDO.L</t>
  </si>
  <si>
    <t>Ocado Group plc</t>
  </si>
  <si>
    <t>WAF.DE</t>
  </si>
  <si>
    <t>Siltronic AG</t>
  </si>
  <si>
    <t>IGG.L</t>
  </si>
  <si>
    <t>IG Group Holdings plc</t>
  </si>
  <si>
    <t>WIZZ.L</t>
  </si>
  <si>
    <t>Wizz Air Holdings Plc</t>
  </si>
  <si>
    <t>Hungary</t>
  </si>
  <si>
    <t>SDF.DE</t>
  </si>
  <si>
    <t>K+S Aktiengesellschaft</t>
  </si>
  <si>
    <t>WCH.DE</t>
  </si>
  <si>
    <t>Wacker Chemie AG</t>
  </si>
  <si>
    <t>AALB.AS</t>
  </si>
  <si>
    <t>Aalberts N.V.</t>
  </si>
  <si>
    <t>BEN.PA</t>
  </si>
  <si>
    <t>Bénéteau S.A.</t>
  </si>
  <si>
    <t>RAND.AS</t>
  </si>
  <si>
    <t>Randstad N.V.</t>
  </si>
  <si>
    <t>UTG.L</t>
  </si>
  <si>
    <t>Unite Group PLC</t>
  </si>
  <si>
    <t>GLPG.AS</t>
  </si>
  <si>
    <t>Galapagos NV</t>
  </si>
  <si>
    <t>DEC.PA</t>
  </si>
  <si>
    <t>JCDecaux SE</t>
  </si>
  <si>
    <t>DKSH.SW</t>
  </si>
  <si>
    <t>DKSH Holding AG</t>
  </si>
  <si>
    <t>SRE.L</t>
  </si>
  <si>
    <t>Sirius Real Estate Limited</t>
  </si>
  <si>
    <t>Guernsey</t>
  </si>
  <si>
    <t>SPIE.PA</t>
  </si>
  <si>
    <t>SPIE SA</t>
  </si>
  <si>
    <t>BVI.PA</t>
  </si>
  <si>
    <t>Bureau Veritas SA</t>
  </si>
  <si>
    <t>FBK.MI</t>
  </si>
  <si>
    <t>FinecoBank Banca Fineco S.p.A.</t>
  </si>
  <si>
    <t>HEI.DE</t>
  </si>
  <si>
    <t>Heidelberg Materials AG</t>
  </si>
  <si>
    <t>WDP.BR</t>
  </si>
  <si>
    <t>Warehouses De Pauw SA</t>
  </si>
  <si>
    <t>ENX.PA</t>
  </si>
  <si>
    <t>Euronext N.V.</t>
  </si>
  <si>
    <t>UNI.MC</t>
  </si>
  <si>
    <t>Unicaja Banco, S.A.</t>
  </si>
  <si>
    <t>SNR.L</t>
  </si>
  <si>
    <t>Senior plc</t>
  </si>
  <si>
    <t>NXT.L</t>
  </si>
  <si>
    <t>NEXT plc</t>
  </si>
  <si>
    <t>EVK.DE</t>
  </si>
  <si>
    <t>Evonik Industries AG</t>
  </si>
  <si>
    <t>CFR.SW</t>
  </si>
  <si>
    <t>Compagnie Financière Richemont SA</t>
  </si>
  <si>
    <t>SBMO.AS</t>
  </si>
  <si>
    <t>SBM Offshore N.V.</t>
  </si>
  <si>
    <t>Energy</t>
  </si>
  <si>
    <t>G1A.DE</t>
  </si>
  <si>
    <t>GEA Group Aktiengesellschaft</t>
  </si>
  <si>
    <t>DOM.ST</t>
  </si>
  <si>
    <t>Dometic Group AB (publ)</t>
  </si>
  <si>
    <t>Sweden</t>
  </si>
  <si>
    <t>TEL.OL</t>
  </si>
  <si>
    <t>Telenor ASA</t>
  </si>
  <si>
    <t>Norway</t>
  </si>
  <si>
    <t>IDR.MC</t>
  </si>
  <si>
    <t>Indra Sistemas, S.A.</t>
  </si>
  <si>
    <t>COV.PA</t>
  </si>
  <si>
    <t>Covivio</t>
  </si>
  <si>
    <t>IPN.PA</t>
  </si>
  <si>
    <t>Ipsen S.A.</t>
  </si>
  <si>
    <t>DUE.DE</t>
  </si>
  <si>
    <t>Dürr Aktiengesellschaft</t>
  </si>
  <si>
    <t>TOM.OL</t>
  </si>
  <si>
    <t>Tomra Systems ASA</t>
  </si>
  <si>
    <t>BKT.MC</t>
  </si>
  <si>
    <t>Bankinter, S.A.</t>
  </si>
  <si>
    <t>GET.PA</t>
  </si>
  <si>
    <t>Getlink SE</t>
  </si>
  <si>
    <t>ORSTED.CO</t>
  </si>
  <si>
    <t>Ørsted A/S</t>
  </si>
  <si>
    <t>Denmark</t>
  </si>
  <si>
    <t>LGEN.L</t>
  </si>
  <si>
    <t>Legal &amp; General Group Plc</t>
  </si>
  <si>
    <t>KGF.L</t>
  </si>
  <si>
    <t>Kingfisher plc</t>
  </si>
  <si>
    <t>LEG.DE</t>
  </si>
  <si>
    <t>LEG Immobilien SE</t>
  </si>
  <si>
    <t>EBRO.MC</t>
  </si>
  <si>
    <t>Ebro Foods, S.A.</t>
  </si>
  <si>
    <t>PRY.MI</t>
  </si>
  <si>
    <t>Prysmian S.p.A.</t>
  </si>
  <si>
    <t>SLR.MC</t>
  </si>
  <si>
    <t>Solaria Energía y Medio Ambiente, S.A.</t>
  </si>
  <si>
    <t>GCP.L</t>
  </si>
  <si>
    <t>GCP Infrastructure Investment Ord</t>
  </si>
  <si>
    <t>0</t>
  </si>
  <si>
    <t>TEMN.SW</t>
  </si>
  <si>
    <t>Temenos AG</t>
  </si>
  <si>
    <t>SY1.DE</t>
  </si>
  <si>
    <t>Symrise AG</t>
  </si>
  <si>
    <t>ACS.MC</t>
  </si>
  <si>
    <t>ACS, Actividades de Construcción y Servicios, S.A.</t>
  </si>
  <si>
    <t>NEX.PA</t>
  </si>
  <si>
    <t>Nexans S.A.</t>
  </si>
  <si>
    <t>ORPEA.PA</t>
  </si>
  <si>
    <t>IDL.PA</t>
  </si>
  <si>
    <t>ID Logistics Group SA</t>
  </si>
  <si>
    <t>ARGX.BR</t>
  </si>
  <si>
    <t>argenx SE</t>
  </si>
  <si>
    <t>CON.DE</t>
  </si>
  <si>
    <t>Continental Aktiengesellschaft</t>
  </si>
  <si>
    <t>HSX.L</t>
  </si>
  <si>
    <t>Hiscox Ltd</t>
  </si>
  <si>
    <t>Bermuda</t>
  </si>
  <si>
    <t>AENA.MC</t>
  </si>
  <si>
    <t>Aena S.M.E., S.A.</t>
  </si>
  <si>
    <t>KGX.DE</t>
  </si>
  <si>
    <t>KION GROUP AG</t>
  </si>
  <si>
    <t>SINCH.ST</t>
  </si>
  <si>
    <t>Sinch AB (publ)</t>
  </si>
  <si>
    <t>DBAN.DE</t>
  </si>
  <si>
    <t>Deutsche Beteiligungs AG</t>
  </si>
  <si>
    <t>VATN.SW</t>
  </si>
  <si>
    <t>Valiant Holding AG</t>
  </si>
  <si>
    <t>THULE.ST</t>
  </si>
  <si>
    <t>Thule Group AB (publ)</t>
  </si>
  <si>
    <t>ANA.MC</t>
  </si>
  <si>
    <t>Acciona, S.A.</t>
  </si>
  <si>
    <t>NN.AS</t>
  </si>
  <si>
    <t>NN Group N.V.</t>
  </si>
  <si>
    <t>PBB.DE</t>
  </si>
  <si>
    <t>Deutsche Pfandbriefbank AG</t>
  </si>
  <si>
    <t>SUN.SW</t>
  </si>
  <si>
    <t>Sulzer AG</t>
  </si>
  <si>
    <t>PIRC.MI</t>
  </si>
  <si>
    <t>Pirelli &amp; C. S.p.A.</t>
  </si>
  <si>
    <t>TEN.MI</t>
  </si>
  <si>
    <t>Tenaris S.A.</t>
  </si>
  <si>
    <t>GRF.MC</t>
  </si>
  <si>
    <t>Grifols, S.A.</t>
  </si>
  <si>
    <t>BAB.L</t>
  </si>
  <si>
    <t>Babcock International Group PLC</t>
  </si>
  <si>
    <t>JDEP.AS</t>
  </si>
  <si>
    <t>JDE Peet's N.V.</t>
  </si>
  <si>
    <t>MAP.MC</t>
  </si>
  <si>
    <t>Mapfre, S.A.</t>
  </si>
  <si>
    <t>COFA.PA</t>
  </si>
  <si>
    <t>COFACE SA</t>
  </si>
  <si>
    <t>BZU.MI</t>
  </si>
  <si>
    <t>Buzzi S.p.A.</t>
  </si>
  <si>
    <t>MONC.MI</t>
  </si>
  <si>
    <t>Moncler S.p.A.</t>
  </si>
  <si>
    <t>WLN.PA</t>
  </si>
  <si>
    <t>Worldline SA</t>
  </si>
  <si>
    <t>PTEC.L</t>
  </si>
  <si>
    <t>Playtech plc</t>
  </si>
  <si>
    <t>NDX1.DE</t>
  </si>
  <si>
    <t>Nordex SE</t>
  </si>
  <si>
    <t>PHNX.L</t>
  </si>
  <si>
    <t>Standard Life plc</t>
  </si>
  <si>
    <t>SAF.MI</t>
  </si>
  <si>
    <t>Safran SA</t>
  </si>
  <si>
    <t>MERY.PA</t>
  </si>
  <si>
    <t>Mercialys SA</t>
  </si>
  <si>
    <t>HNR1.DE</t>
  </si>
  <si>
    <t>Hannover Rück SE</t>
  </si>
  <si>
    <t>BNR.DE</t>
  </si>
  <si>
    <t>Brenntag SE</t>
  </si>
  <si>
    <t>HWDN.L</t>
  </si>
  <si>
    <t>Howden Joinery Group Plc</t>
  </si>
  <si>
    <t>GFT.DE</t>
  </si>
  <si>
    <t>GFT Technologies SE</t>
  </si>
  <si>
    <t>SGE.L</t>
  </si>
  <si>
    <t>The Sage Group plc</t>
  </si>
  <si>
    <t>SEB.PA</t>
  </si>
  <si>
    <t>RHM.DE</t>
  </si>
  <si>
    <t>Rheinmetall AG</t>
  </si>
  <si>
    <t>LHN.SW</t>
  </si>
  <si>
    <t>Holcim AG</t>
  </si>
  <si>
    <t>SOON.SW</t>
  </si>
  <si>
    <t>Sonova Holding AG</t>
  </si>
  <si>
    <t>BOL.PA</t>
  </si>
  <si>
    <t>Bolloré SE</t>
  </si>
  <si>
    <t>FME.DE</t>
  </si>
  <si>
    <t>Fresenius Medical Care AG</t>
  </si>
  <si>
    <t>SCMN.SW</t>
  </si>
  <si>
    <t>Swisscom AG</t>
  </si>
  <si>
    <t>ACKB.BR</t>
  </si>
  <si>
    <t>Ackermans &amp; Van Haaren NV</t>
  </si>
  <si>
    <t>GEBN.SW</t>
  </si>
  <si>
    <t>Geberit AG</t>
  </si>
  <si>
    <t>LOGN.SW</t>
  </si>
  <si>
    <t>Logitech International S.A.</t>
  </si>
  <si>
    <t>FRA.DE</t>
  </si>
  <si>
    <t>Fraport AG</t>
  </si>
  <si>
    <t>BYG.L</t>
  </si>
  <si>
    <t>Big Yellow Group Plc</t>
  </si>
  <si>
    <t>BESI.AS</t>
  </si>
  <si>
    <t>BE Semiconductor Industries N.V.</t>
  </si>
  <si>
    <t>CABK.MC</t>
  </si>
  <si>
    <t>CaixaBank, S.A.</t>
  </si>
  <si>
    <t>PNE3.DE</t>
  </si>
  <si>
    <t>PNE AG</t>
  </si>
  <si>
    <t>DEMANT.CO</t>
  </si>
  <si>
    <t>Demant A/S</t>
  </si>
  <si>
    <t>SRT.DE</t>
  </si>
  <si>
    <t>Sartorius Aktiengesellschaft</t>
  </si>
  <si>
    <t>HER.MI</t>
  </si>
  <si>
    <t>Hera S.p.A.</t>
  </si>
  <si>
    <t>BAMI.MI</t>
  </si>
  <si>
    <t>Banco BPM S.p.A.</t>
  </si>
  <si>
    <t>RMS.PA</t>
  </si>
  <si>
    <t>Hermès International Société en commandite par actions</t>
  </si>
  <si>
    <t>DHER.DE</t>
  </si>
  <si>
    <t>Delivery Hero SE</t>
  </si>
  <si>
    <t>RAT.L</t>
  </si>
  <si>
    <t>Rathbones Group Plc</t>
  </si>
  <si>
    <t>NEL.OL</t>
  </si>
  <si>
    <t>Nel ASA</t>
  </si>
  <si>
    <t>GFC.PA</t>
  </si>
  <si>
    <t>Gecina</t>
  </si>
  <si>
    <t>EQT.ST</t>
  </si>
  <si>
    <t>EQT AB (publ)</t>
  </si>
  <si>
    <t>LOG.MC</t>
  </si>
  <si>
    <t>Logista Integral, S.A.</t>
  </si>
  <si>
    <t>OXIG.L</t>
  </si>
  <si>
    <t>Oxford Instruments plc</t>
  </si>
  <si>
    <t>PNDORA.CO</t>
  </si>
  <si>
    <t>Pandora A/S</t>
  </si>
  <si>
    <t>TKO.PA</t>
  </si>
  <si>
    <t>Tikehau Capital</t>
  </si>
  <si>
    <t>KNIN.SW</t>
  </si>
  <si>
    <t>Kuehne + Nagel International AG</t>
  </si>
  <si>
    <t>HBH.DE</t>
  </si>
  <si>
    <t>HORNBACH Holding AG &amp; Co. KGaA</t>
  </si>
  <si>
    <t>ALFA.ST</t>
  </si>
  <si>
    <t>Alfa Laval AB (publ)</t>
  </si>
  <si>
    <t>HDD.DE</t>
  </si>
  <si>
    <t>Heidelberger Druckmaschinen Aktiengesellschaft</t>
  </si>
  <si>
    <t>FLOW.AS</t>
  </si>
  <si>
    <t>Flow Traders Ltd.</t>
  </si>
  <si>
    <t>STMN.SW</t>
  </si>
  <si>
    <t>Straumann Holding AG</t>
  </si>
  <si>
    <t>ELIS.PA</t>
  </si>
  <si>
    <t>Elis SA</t>
  </si>
  <si>
    <t>ELI.BR</t>
  </si>
  <si>
    <t>Elia Group SA/NV</t>
  </si>
  <si>
    <t>DIM.PA</t>
  </si>
  <si>
    <t>Sartorius Stedim Biotech S.A.</t>
  </si>
  <si>
    <t>FER.MC</t>
  </si>
  <si>
    <t>Ferrovial SE</t>
  </si>
  <si>
    <t>INW.MI</t>
  </si>
  <si>
    <t>Infrastrutture Wireless Italiane S.p.A.</t>
  </si>
  <si>
    <t>Métrique</t>
  </si>
  <si>
    <t>Nom de l'entreprise</t>
  </si>
  <si>
    <t>EBITDA (T0)</t>
  </si>
  <si>
    <t>Dette Nette (T0)</t>
  </si>
  <si>
    <t>SAI Score</t>
  </si>
  <si>
    <t>Capex Intensity</t>
  </si>
  <si>
    <t>Driver</t>
  </si>
  <si>
    <t>Multiple d'Entrée (EV/EBITDA)</t>
  </si>
  <si>
    <t>Frais de Transaction (%)</t>
  </si>
  <si>
    <t>Levier Senior (x EBITDA)</t>
  </si>
  <si>
    <t>Management Roll-over (%)</t>
  </si>
  <si>
    <t>Drivers de l'Opération</t>
  </si>
  <si>
    <t>Croissance Annuelle du Revenu</t>
  </si>
  <si>
    <t>Marge d'EBITDA Cible</t>
  </si>
  <si>
    <t>Intensité du Capex (%)</t>
  </si>
  <si>
    <t>Variation du BFR (% CA)</t>
  </si>
  <si>
    <t>Drivers d'Exploitation</t>
  </si>
  <si>
    <t>Taux d'Intérêt (%)</t>
  </si>
  <si>
    <t>Taux d'Impôt (IS)</t>
  </si>
  <si>
    <t>Horizon de Détention</t>
  </si>
  <si>
    <t>Multiple de Sortie</t>
  </si>
  <si>
    <t>Drivers de Financement</t>
  </si>
  <si>
    <t>Financials</t>
  </si>
  <si>
    <t>Capital Structure</t>
  </si>
  <si>
    <t>LTM EBITDA</t>
  </si>
  <si>
    <t>LTM Financials</t>
  </si>
  <si>
    <t>Bank Debt</t>
  </si>
  <si>
    <t>EBITDA Multiple</t>
  </si>
  <si>
    <t>Enterprise Value</t>
  </si>
  <si>
    <t>D&amp;A</t>
  </si>
  <si>
    <t>For Reference</t>
  </si>
  <si>
    <t>IRR</t>
  </si>
  <si>
    <t>Operating Assumptions</t>
  </si>
  <si>
    <t>Revenue Growth</t>
  </si>
  <si>
    <t>YoY margin expansion</t>
  </si>
  <si>
    <t>Tax Rate</t>
  </si>
  <si>
    <t>xEBITDA</t>
  </si>
  <si>
    <t>% Capital</t>
  </si>
  <si>
    <t>Total Debt</t>
  </si>
  <si>
    <t>Total Sources</t>
  </si>
  <si>
    <t>Total Uses</t>
  </si>
  <si>
    <t>Operating Model</t>
  </si>
  <si>
    <t>Year 0</t>
  </si>
  <si>
    <t>Year 1</t>
  </si>
  <si>
    <t>Year 2</t>
  </si>
  <si>
    <t>Year 3</t>
  </si>
  <si>
    <t>Year 4</t>
  </si>
  <si>
    <t>Year 5</t>
  </si>
  <si>
    <t xml:space="preserve">   % growth</t>
  </si>
  <si>
    <t xml:space="preserve">   % sales</t>
  </si>
  <si>
    <t>Interest</t>
  </si>
  <si>
    <t>EBT</t>
  </si>
  <si>
    <t>Taxes</t>
  </si>
  <si>
    <t xml:space="preserve">   % tax rate</t>
  </si>
  <si>
    <t>Net Income</t>
  </si>
  <si>
    <t>Cash flow Items</t>
  </si>
  <si>
    <t>Net Working Capital</t>
  </si>
  <si>
    <t>Change in Net Working Capital</t>
  </si>
  <si>
    <t>CapEx</t>
  </si>
  <si>
    <t>Levered Cash Flow</t>
  </si>
  <si>
    <t>Change in NWC</t>
  </si>
  <si>
    <t>Debt Schedule</t>
  </si>
  <si>
    <t xml:space="preserve">   Beginning Balance</t>
  </si>
  <si>
    <t xml:space="preserve">   Interest</t>
  </si>
  <si>
    <t xml:space="preserve">   Paydown</t>
  </si>
  <si>
    <t xml:space="preserve">   Ending Balance</t>
  </si>
  <si>
    <t>Sr. Notes</t>
  </si>
  <si>
    <t>EBITDA at Exit</t>
  </si>
  <si>
    <t>Exit Multiple</t>
  </si>
  <si>
    <t>Net Debt</t>
  </si>
  <si>
    <t>Sponsor Equity Value</t>
  </si>
  <si>
    <t>Sponsor Equity at Entry</t>
  </si>
  <si>
    <t>MOIC</t>
  </si>
  <si>
    <t>BFR</t>
  </si>
  <si>
    <t xml:space="preserve">Cap </t>
  </si>
  <si>
    <t>5x</t>
  </si>
  <si>
    <t>target_ebitda_mult</t>
  </si>
  <si>
    <t>annual_growth</t>
  </si>
  <si>
    <t>max_leverage</t>
  </si>
  <si>
    <t>nwc_variation_revenue</t>
  </si>
  <si>
    <t>capex_to_revenue</t>
  </si>
  <si>
    <t>ebitda_margin_target</t>
  </si>
  <si>
    <t>sector_beta</t>
  </si>
  <si>
    <t>country_name</t>
  </si>
  <si>
    <t>tax_rate</t>
  </si>
  <si>
    <t>United States</t>
  </si>
  <si>
    <t>Canada</t>
  </si>
  <si>
    <t>Brazil</t>
  </si>
  <si>
    <t>Secteur</t>
  </si>
  <si>
    <t>Country</t>
  </si>
  <si>
    <t>avg_revenue_growth</t>
  </si>
  <si>
    <t>depreciation_amortization</t>
  </si>
  <si>
    <t>Valeur</t>
  </si>
  <si>
    <t>SELECTION</t>
  </si>
  <si>
    <t xml:space="preserve">LBO </t>
  </si>
  <si>
    <t xml:space="preserve">Entry </t>
  </si>
  <si>
    <t xml:space="preserve">Hypothèses </t>
  </si>
  <si>
    <t>Valeur d'Entreprise</t>
  </si>
  <si>
    <t>Dette Nette Existante</t>
  </si>
  <si>
    <t>Valeur des Fonds Propres</t>
  </si>
  <si>
    <t>Chiffre d'Affaires</t>
  </si>
  <si>
    <t>Dette Bancaire</t>
  </si>
  <si>
    <t>Obligations Senior</t>
  </si>
  <si>
    <t>TRI</t>
  </si>
  <si>
    <t>Coût</t>
  </si>
  <si>
    <t>Montant</t>
  </si>
  <si>
    <t>Sortie</t>
  </si>
  <si>
    <t>Emplois</t>
  </si>
  <si>
    <t>Ressources</t>
  </si>
  <si>
    <t>Monant</t>
  </si>
  <si>
    <t>Remboursement de la dette</t>
  </si>
  <si>
    <t>Paiement des titres</t>
  </si>
  <si>
    <t>Frais et commissions</t>
  </si>
  <si>
    <t>Apport en fonds propres</t>
  </si>
  <si>
    <t>Ressources et Emplois</t>
  </si>
  <si>
    <t>volatility</t>
  </si>
  <si>
    <t>Score_Serviceability</t>
  </si>
  <si>
    <t>Score_Optimization</t>
  </si>
  <si>
    <t>Score_Collateral</t>
  </si>
  <si>
    <t>SAI_Score</t>
  </si>
  <si>
    <t>RealMultiple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</si>
</sst>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&quot;$&quot;\ \-#,##0.00"/>
    <numFmt numFmtId="164" formatCode="0.0\x_)"/>
    <numFmt numFmtId="165" formatCode="0.0%_)"/>
    <numFmt numFmtId="166" formatCode="0_);\(0\)"/>
    <numFmt numFmtId="167" formatCode="#,##0_);\(#,##0\);\-_)"/>
    <numFmt numFmtId="168" formatCode="#,##0.0%_);\(#,##0.0%\)"/>
    <numFmt numFmtId="169" formatCode="#,##0.0\x;&quot;NM&quot;_x"/>
    <numFmt numFmtId="170" formatCode="0.0%"/>
    <numFmt numFmtId="171" formatCode="[$$-409]#,##0"/>
  </numFmts>
  <fonts count="31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6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indexed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rgb="FF7030A0"/>
      <name val="Calibri"/>
      <family val="2"/>
    </font>
    <font>
      <b/>
      <sz val="11"/>
      <color indexed="8"/>
      <name val="Calibri"/>
      <family val="2"/>
    </font>
    <font>
      <i/>
      <sz val="11"/>
      <color theme="1"/>
      <name val="Calibri"/>
      <family val="2"/>
    </font>
    <font>
      <i/>
      <sz val="11"/>
      <color rgb="FF7030A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indexed="8"/>
      <name val="Calibri"/>
      <family val="2"/>
    </font>
    <font>
      <sz val="11"/>
      <name val="Calibri"/>
      <family val="2"/>
    </font>
    <font>
      <b/>
      <sz val="11"/>
      <color rgb="FF7030A0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rgb="FF1F1F1F"/>
      <name val="Avenir Next LT Pro"/>
      <family val="2"/>
    </font>
    <font>
      <sz val="10"/>
      <color rgb="FF444746"/>
      <name val="Avenir Next LT Pro"/>
      <family val="2"/>
    </font>
    <font>
      <sz val="11"/>
      <color theme="1"/>
      <name val="Avenir Next LT Pro"/>
      <family val="2"/>
    </font>
    <font>
      <sz val="11"/>
      <color theme="1" tint="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1F1F1F"/>
      <name val="Arial"/>
      <family val="2"/>
    </font>
    <font>
      <b/>
      <sz val="12"/>
      <color rgb="FF444746"/>
      <name val="Avenir Next LT Pro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37" fontId="7" fillId="0" borderId="0" xfId="0" applyNumberFormat="1" applyFont="1"/>
    <xf numFmtId="0" fontId="8" fillId="0" borderId="0" xfId="0" applyFont="1"/>
    <xf numFmtId="164" fontId="9" fillId="4" borderId="2" xfId="0" applyNumberFormat="1" applyFont="1" applyFill="1" applyBorder="1"/>
    <xf numFmtId="165" fontId="9" fillId="4" borderId="2" xfId="0" applyNumberFormat="1" applyFont="1" applyFill="1" applyBorder="1"/>
    <xf numFmtId="164" fontId="9" fillId="4" borderId="3" xfId="0" applyNumberFormat="1" applyFont="1" applyFill="1" applyBorder="1"/>
    <xf numFmtId="166" fontId="9" fillId="4" borderId="2" xfId="0" applyNumberFormat="1" applyFont="1" applyFill="1" applyBorder="1"/>
    <xf numFmtId="0" fontId="3" fillId="0" borderId="0" xfId="0" applyFont="1"/>
    <xf numFmtId="167" fontId="10" fillId="0" borderId="0" xfId="0" applyNumberFormat="1" applyFont="1"/>
    <xf numFmtId="168" fontId="9" fillId="0" borderId="0" xfId="0" applyNumberFormat="1" applyFont="1" applyAlignment="1">
      <alignment horizontal="right"/>
    </xf>
    <xf numFmtId="166" fontId="9" fillId="4" borderId="3" xfId="0" applyNumberFormat="1" applyFont="1" applyFill="1" applyBorder="1"/>
    <xf numFmtId="168" fontId="7" fillId="0" borderId="0" xfId="0" applyNumberFormat="1" applyFont="1"/>
    <xf numFmtId="167" fontId="9" fillId="0" borderId="0" xfId="0" applyNumberFormat="1" applyFont="1"/>
    <xf numFmtId="164" fontId="7" fillId="0" borderId="0" xfId="0" applyNumberFormat="1" applyFont="1"/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167" fontId="11" fillId="0" borderId="0" xfId="0" applyNumberFormat="1" applyFont="1"/>
    <xf numFmtId="169" fontId="7" fillId="0" borderId="0" xfId="0" applyNumberFormat="1" applyFont="1"/>
    <xf numFmtId="168" fontId="0" fillId="0" borderId="0" xfId="0" applyNumberFormat="1"/>
    <xf numFmtId="167" fontId="12" fillId="0" borderId="0" xfId="0" applyNumberFormat="1" applyFont="1"/>
    <xf numFmtId="169" fontId="0" fillId="0" borderId="0" xfId="0" applyNumberFormat="1"/>
    <xf numFmtId="167" fontId="11" fillId="0" borderId="1" xfId="0" applyNumberFormat="1" applyFont="1" applyBorder="1"/>
    <xf numFmtId="169" fontId="7" fillId="0" borderId="1" xfId="0" applyNumberFormat="1" applyFont="1" applyBorder="1"/>
    <xf numFmtId="168" fontId="0" fillId="0" borderId="1" xfId="0" applyNumberFormat="1" applyBorder="1"/>
    <xf numFmtId="167" fontId="13" fillId="0" borderId="0" xfId="0" applyNumberFormat="1" applyFont="1"/>
    <xf numFmtId="169" fontId="3" fillId="0" borderId="0" xfId="0" applyNumberFormat="1" applyFont="1"/>
    <xf numFmtId="168" fontId="3" fillId="0" borderId="0" xfId="0" applyNumberFormat="1" applyFont="1"/>
    <xf numFmtId="0" fontId="11" fillId="0" borderId="0" xfId="0" applyFont="1"/>
    <xf numFmtId="0" fontId="3" fillId="5" borderId="4" xfId="0" applyFont="1" applyFill="1" applyBorder="1"/>
    <xf numFmtId="0" fontId="3" fillId="5" borderId="5" xfId="0" applyFont="1" applyFill="1" applyBorder="1"/>
    <xf numFmtId="167" fontId="13" fillId="5" borderId="5" xfId="0" applyNumberFormat="1" applyFont="1" applyFill="1" applyBorder="1"/>
    <xf numFmtId="164" fontId="3" fillId="5" borderId="5" xfId="0" applyNumberFormat="1" applyFont="1" applyFill="1" applyBorder="1"/>
    <xf numFmtId="168" fontId="3" fillId="5" borderId="6" xfId="0" applyNumberFormat="1" applyFont="1" applyFill="1" applyBorder="1"/>
    <xf numFmtId="167" fontId="12" fillId="0" borderId="7" xfId="0" applyNumberFormat="1" applyFont="1" applyBorder="1"/>
    <xf numFmtId="0" fontId="14" fillId="0" borderId="0" xfId="0" applyFont="1"/>
    <xf numFmtId="0" fontId="0" fillId="0" borderId="7" xfId="0" applyBorder="1"/>
    <xf numFmtId="165" fontId="15" fillId="0" borderId="0" xfId="0" applyNumberFormat="1" applyFont="1"/>
    <xf numFmtId="167" fontId="0" fillId="0" borderId="0" xfId="0" applyNumberFormat="1"/>
    <xf numFmtId="165" fontId="16" fillId="0" borderId="7" xfId="0" applyNumberFormat="1" applyFont="1" applyBorder="1"/>
    <xf numFmtId="168" fontId="17" fillId="0" borderId="0" xfId="0" applyNumberFormat="1" applyFont="1"/>
    <xf numFmtId="167" fontId="18" fillId="0" borderId="7" xfId="0" applyNumberFormat="1" applyFont="1" applyBorder="1"/>
    <xf numFmtId="167" fontId="18" fillId="0" borderId="0" xfId="0" applyNumberFormat="1" applyFont="1"/>
    <xf numFmtId="165" fontId="16" fillId="0" borderId="0" xfId="0" applyNumberFormat="1" applyFont="1"/>
    <xf numFmtId="167" fontId="7" fillId="4" borderId="0" xfId="0" applyNumberFormat="1" applyFont="1" applyFill="1"/>
    <xf numFmtId="167" fontId="0" fillId="0" borderId="7" xfId="0" applyNumberFormat="1" applyBorder="1"/>
    <xf numFmtId="165" fontId="15" fillId="0" borderId="7" xfId="0" applyNumberFormat="1" applyFont="1" applyBorder="1"/>
    <xf numFmtId="168" fontId="14" fillId="0" borderId="7" xfId="0" applyNumberFormat="1" applyFont="1" applyBorder="1"/>
    <xf numFmtId="167" fontId="11" fillId="0" borderId="7" xfId="0" applyNumberFormat="1" applyFont="1" applyBorder="1"/>
    <xf numFmtId="167" fontId="7" fillId="0" borderId="0" xfId="0" applyNumberFormat="1" applyFont="1"/>
    <xf numFmtId="0" fontId="0" fillId="0" borderId="8" xfId="0" applyBorder="1"/>
    <xf numFmtId="167" fontId="7" fillId="0" borderId="1" xfId="0" applyNumberFormat="1" applyFont="1" applyBorder="1"/>
    <xf numFmtId="0" fontId="3" fillId="5" borderId="6" xfId="0" applyFont="1" applyFill="1" applyBorder="1"/>
    <xf numFmtId="167" fontId="3" fillId="5" borderId="5" xfId="0" applyNumberFormat="1" applyFont="1" applyFill="1" applyBorder="1"/>
    <xf numFmtId="167" fontId="3" fillId="5" borderId="6" xfId="0" applyNumberFormat="1" applyFont="1" applyFill="1" applyBorder="1"/>
    <xf numFmtId="167" fontId="0" fillId="0" borderId="1" xfId="0" applyNumberFormat="1" applyBorder="1"/>
    <xf numFmtId="167" fontId="3" fillId="0" borderId="0" xfId="0" applyNumberFormat="1" applyFont="1"/>
    <xf numFmtId="167" fontId="19" fillId="0" borderId="7" xfId="0" applyNumberFormat="1" applyFont="1" applyBorder="1"/>
    <xf numFmtId="37" fontId="0" fillId="0" borderId="1" xfId="0" applyNumberFormat="1" applyBorder="1"/>
    <xf numFmtId="0" fontId="20" fillId="0" borderId="7" xfId="0" applyFont="1" applyBorder="1"/>
    <xf numFmtId="0" fontId="20" fillId="0" borderId="8" xfId="0" applyFont="1" applyBorder="1"/>
    <xf numFmtId="37" fontId="20" fillId="0" borderId="1" xfId="0" applyNumberFormat="1" applyFont="1" applyBorder="1"/>
    <xf numFmtId="167" fontId="21" fillId="0" borderId="7" xfId="0" applyNumberFormat="1" applyFont="1" applyBorder="1"/>
    <xf numFmtId="164" fontId="12" fillId="0" borderId="1" xfId="0" applyNumberFormat="1" applyFont="1" applyBorder="1"/>
    <xf numFmtId="167" fontId="12" fillId="0" borderId="1" xfId="0" applyNumberFormat="1" applyFont="1" applyBorder="1"/>
    <xf numFmtId="0" fontId="22" fillId="5" borderId="9" xfId="0" applyFont="1" applyFill="1" applyBorder="1"/>
    <xf numFmtId="0" fontId="22" fillId="5" borderId="10" xfId="0" applyFont="1" applyFill="1" applyBorder="1"/>
    <xf numFmtId="169" fontId="22" fillId="5" borderId="11" xfId="0" applyNumberFormat="1" applyFont="1" applyFill="1" applyBorder="1"/>
    <xf numFmtId="0" fontId="22" fillId="5" borderId="12" xfId="0" applyFont="1" applyFill="1" applyBorder="1"/>
    <xf numFmtId="0" fontId="22" fillId="5" borderId="1" xfId="0" applyFont="1" applyFill="1" applyBorder="1"/>
    <xf numFmtId="168" fontId="22" fillId="5" borderId="8" xfId="0" applyNumberFormat="1" applyFont="1" applyFill="1" applyBorder="1"/>
    <xf numFmtId="0" fontId="1" fillId="6" borderId="13" xfId="0" applyFont="1" applyFill="1" applyBorder="1" applyAlignment="1">
      <alignment horizontal="left" vertical="center" wrapText="1" indent="1" readingOrder="1"/>
    </xf>
    <xf numFmtId="0" fontId="24" fillId="7" borderId="13" xfId="0" applyFont="1" applyFill="1" applyBorder="1" applyAlignment="1">
      <alignment horizontal="left" vertical="center" wrapText="1" indent="1" readingOrder="1"/>
    </xf>
    <xf numFmtId="0" fontId="25" fillId="7" borderId="13" xfId="0" applyFont="1" applyFill="1" applyBorder="1" applyAlignment="1">
      <alignment horizontal="center" vertical="center" wrapText="1" readingOrder="1"/>
    </xf>
    <xf numFmtId="10" fontId="25" fillId="7" borderId="13" xfId="0" applyNumberFormat="1" applyFont="1" applyFill="1" applyBorder="1" applyAlignment="1">
      <alignment horizontal="center" vertical="center" wrapText="1" readingOrder="1"/>
    </xf>
    <xf numFmtId="1" fontId="30" fillId="7" borderId="13" xfId="0" applyNumberFormat="1" applyFont="1" applyFill="1" applyBorder="1" applyAlignment="1">
      <alignment horizontal="center" vertical="center" wrapText="1" readingOrder="1"/>
    </xf>
    <xf numFmtId="171" fontId="26" fillId="7" borderId="13" xfId="0" applyNumberFormat="1" applyFont="1" applyFill="1" applyBorder="1" applyAlignment="1">
      <alignment horizontal="center" vertical="center"/>
    </xf>
    <xf numFmtId="8" fontId="25" fillId="7" borderId="13" xfId="0" applyNumberFormat="1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29" fillId="0" borderId="7" xfId="0" applyFont="1" applyBorder="1" applyAlignment="1">
      <alignment horizontal="left" vertical="center" wrapText="1" indent="1" readingOrder="1"/>
    </xf>
    <xf numFmtId="170" fontId="29" fillId="0" borderId="7" xfId="0" applyNumberFormat="1" applyFont="1" applyBorder="1" applyAlignment="1">
      <alignment horizontal="left" vertical="center" wrapText="1" indent="1" readingOrder="1"/>
    </xf>
    <xf numFmtId="9" fontId="29" fillId="0" borderId="8" xfId="0" applyNumberFormat="1" applyFont="1" applyBorder="1" applyAlignment="1">
      <alignment horizontal="left" vertical="center" wrapText="1" indent="1" readingOrder="1"/>
    </xf>
    <xf numFmtId="0" fontId="29" fillId="0" borderId="15" xfId="0" applyFont="1" applyBorder="1" applyAlignment="1">
      <alignment horizontal="left" vertical="center" wrapText="1" indent="1" readingOrder="1"/>
    </xf>
    <xf numFmtId="0" fontId="29" fillId="0" borderId="16" xfId="0" applyFont="1" applyBorder="1" applyAlignment="1">
      <alignment horizontal="left" vertical="center" wrapText="1" indent="1" readingOrder="1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 indent="1" readingOrder="1"/>
    </xf>
    <xf numFmtId="170" fontId="5" fillId="0" borderId="7" xfId="0" applyNumberFormat="1" applyFont="1" applyBorder="1" applyAlignment="1">
      <alignment horizontal="left" vertical="center" wrapText="1" indent="1" readingOrder="1"/>
    </xf>
    <xf numFmtId="170" fontId="5" fillId="0" borderId="8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 indent="1" readingOrder="1"/>
    </xf>
    <xf numFmtId="0" fontId="5" fillId="0" borderId="15" xfId="0" applyFont="1" applyBorder="1" applyAlignment="1">
      <alignment horizontal="left" vertical="center" wrapText="1" indent="1" readingOrder="1"/>
    </xf>
    <xf numFmtId="0" fontId="5" fillId="0" borderId="16" xfId="0" applyFont="1" applyBorder="1" applyAlignment="1">
      <alignment horizontal="left" vertical="center" wrapText="1" indent="1" readingOrder="1"/>
    </xf>
    <xf numFmtId="9" fontId="5" fillId="0" borderId="7" xfId="0" applyNumberFormat="1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0" fillId="0" borderId="6" xfId="0" applyBorder="1"/>
    <xf numFmtId="0" fontId="28" fillId="8" borderId="14" xfId="0" applyFont="1" applyFill="1" applyBorder="1" applyAlignment="1">
      <alignment horizontal="center" vertical="center"/>
    </xf>
    <xf numFmtId="0" fontId="27" fillId="9" borderId="1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 indent="1" readingOrder="1"/>
    </xf>
    <xf numFmtId="0" fontId="29" fillId="0" borderId="1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97592E-2E72-46A4-9E99-516C592B98B4}" autoFormatId="16" applyNumberFormats="0" applyBorderFormats="0" applyFontFormats="0" applyPatternFormats="0" applyAlignmentFormats="0" applyWidthHeightFormats="0">
  <queryTableRefresh nextId="44">
    <queryTableFields count="37">
      <queryTableField id="1" name="Company_ID" tableColumnId="1"/>
      <queryTableField id="2" name="symbol" tableColumnId="2"/>
      <queryTableField id="3" name="name" tableColumnId="3"/>
      <queryTableField id="4" name="sector" tableColumnId="4"/>
      <queryTableField id="5" name="country" tableColumnId="5"/>
      <queryTableField id="6" name="market_cap" tableColumnId="6"/>
      <queryTableField id="7" name="ebitda_margin" tableColumnId="7"/>
      <queryTableField id="8" name="fcf_yield" tableColumnId="8"/>
      <queryTableField id="9" name="net_debt_ebitda" tableColumnId="9"/>
      <queryTableField id="10" name="capex_intensity" tableColumnId="10"/>
      <queryTableField id="11" name="dscr" tableColumnId="11"/>
      <queryTableField id="33" name="avg_revenue_growth" tableColumnId="31"/>
      <queryTableField id="37" name="volatility" tableColumnId="30"/>
      <queryTableField id="34" name="depreciation_amortization" tableColumnId="32"/>
      <queryTableField id="12" name="ev_ebitda" tableColumnId="12"/>
      <queryTableField id="13" name="Fiscal_Year" tableColumnId="13"/>
      <queryTableField id="14" name="Revenue" tableColumnId="14"/>
      <queryTableField id="15" name="EBITDA" tableColumnId="15"/>
      <queryTableField id="16" name="EBIT" tableColumnId="16"/>
      <queryTableField id="17" name="Net_Income" tableColumnId="17"/>
      <queryTableField id="18" name="Total_Assets" tableColumnId="18"/>
      <queryTableField id="19" name="Total_Debt" tableColumnId="19"/>
      <queryTableField id="20" name="Cash" tableColumnId="20"/>
      <queryTableField id="31" name="Net_Debt" tableColumnId="21"/>
      <queryTableField id="22" name="Capex" tableColumnId="22"/>
      <queryTableField id="23" name="Date" tableColumnId="23"/>
      <queryTableField id="24" name="Share_Price" tableColumnId="24"/>
      <queryTableField id="25" name="Shares_Outstanding" tableColumnId="25"/>
      <queryTableField id="26" name="LBO_Score" tableColumnId="26"/>
      <queryTableField id="27" name="Op_Efficiency_Score" tableColumnId="27"/>
      <queryTableField id="28" name="Deep_Value_Score" tableColumnId="28"/>
      <queryTableField id="29" name="Bankruptcy_Risk_AltmanZ" tableColumnId="29"/>
      <queryTableField id="38" name="Score_Serviceability" tableColumnId="33"/>
      <queryTableField id="39" name="Score_Optimization" tableColumnId="34"/>
      <queryTableField id="40" name="Score_Collateral" tableColumnId="35"/>
      <queryTableField id="41" name="SAI_Score" tableColumnId="36"/>
      <queryTableField id="43" name="RealMultiple" tableColumnId="3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A355AD64-21BB-4B08-A93A-EA4856CD3339}" autoFormatId="16" applyNumberFormats="0" applyBorderFormats="0" applyFontFormats="0" applyPatternFormats="0" applyAlignmentFormats="0" applyWidthHeightFormats="0">
  <queryTableRefresh nextId="3">
    <queryTableFields count="2">
      <queryTableField id="1" name="country_name" tableColumnId="1"/>
      <queryTableField id="2" name="tax_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ED52065D-1EFB-4F2E-8F40-BC9728D3BE31}" autoFormatId="16" applyNumberFormats="0" applyBorderFormats="0" applyFontFormats="0" applyPatternFormats="0" applyAlignmentFormats="0" applyWidthHeightFormats="0">
  <queryTableRefresh nextId="9">
    <queryTableFields count="8">
      <queryTableField id="1" name="sector" tableColumnId="1"/>
      <queryTableField id="2" name="target_ebitda_mult" tableColumnId="2"/>
      <queryTableField id="3" name="annual_growth" tableColumnId="3"/>
      <queryTableField id="4" name="max_leverage" tableColumnId="4"/>
      <queryTableField id="5" name="nwc_variation_revenue" tableColumnId="5"/>
      <queryTableField id="6" name="capex_to_revenue" tableColumnId="6"/>
      <queryTableField id="7" name="ebitda_margin_target" tableColumnId="7"/>
      <queryTableField id="8" name="sector_bet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BF2049-2EB6-4729-9CEB-442AD9975D98}" name="Table_Data" displayName="Table_Data" ref="A1:AK169" tableType="queryTable" totalsRowShown="0">
  <autoFilter ref="A1:AK169" xr:uid="{CCBF2049-2EB6-4729-9CEB-442AD9975D98}"/>
  <tableColumns count="37">
    <tableColumn id="1" xr3:uid="{02CD6CE3-1309-4CBB-8E26-0B2C63A261F4}" uniqueName="1" name="Company_ID" queryTableFieldId="1"/>
    <tableColumn id="2" xr3:uid="{D301740E-05EC-47E1-992A-79C5320BF828}" uniqueName="2" name="symbol" queryTableFieldId="2" dataDxfId="6"/>
    <tableColumn id="3" xr3:uid="{CD79C55D-1DDE-4160-9F75-38F9DC28E2F8}" uniqueName="3" name="name" queryTableFieldId="3" dataDxfId="5"/>
    <tableColumn id="4" xr3:uid="{05576128-8DDA-4EF9-BE0D-37CF34888131}" uniqueName="4" name="sector" queryTableFieldId="4" dataDxfId="4"/>
    <tableColumn id="5" xr3:uid="{BDF96E1C-405D-4DE7-9571-0702DBC93B44}" uniqueName="5" name="country" queryTableFieldId="5" dataDxfId="3"/>
    <tableColumn id="6" xr3:uid="{9871D64A-52BE-4AE7-8078-07BE7F4EC17C}" uniqueName="6" name="market_cap" queryTableFieldId="6"/>
    <tableColumn id="7" xr3:uid="{88D319A8-8C4A-47AE-9014-5CF96FDDF25B}" uniqueName="7" name="ebitda_margin" queryTableFieldId="7"/>
    <tableColumn id="8" xr3:uid="{98418A8C-9DAE-41D4-8CB3-0BA909B41171}" uniqueName="8" name="fcf_yield" queryTableFieldId="8"/>
    <tableColumn id="9" xr3:uid="{9EDFD6AB-3121-4426-A793-5933EA8F503C}" uniqueName="9" name="net_debt_ebitda" queryTableFieldId="9"/>
    <tableColumn id="10" xr3:uid="{70BA07A8-5E3F-4712-BAC0-99EB39917871}" uniqueName="10" name="capex_intensity" queryTableFieldId="10"/>
    <tableColumn id="11" xr3:uid="{919F05C9-BE63-4F04-90EF-C3B7AD862F4A}" uniqueName="11" name="dscr" queryTableFieldId="11"/>
    <tableColumn id="31" xr3:uid="{DDC8DE0A-D2E0-4D20-AB78-9A7ABE8F43BF}" uniqueName="31" name="avg_revenue_growth" queryTableFieldId="33"/>
    <tableColumn id="30" xr3:uid="{40AA23E6-95BA-4499-B2F3-78532D30727C}" uniqueName="30" name="volatility" queryTableFieldId="37"/>
    <tableColumn id="32" xr3:uid="{89B0FCDC-142A-4CF2-8F52-63D46E4D6956}" uniqueName="32" name="depreciation_amortization" queryTableFieldId="34"/>
    <tableColumn id="12" xr3:uid="{22CB5C8F-CF62-4FA9-A9CE-77A517D0EF4A}" uniqueName="12" name="ev_ebitda" queryTableFieldId="12"/>
    <tableColumn id="13" xr3:uid="{CFEFCBCC-CAA0-4807-8ECB-D2B0C3E98BBA}" uniqueName="13" name="Fiscal_Year" queryTableFieldId="13"/>
    <tableColumn id="14" xr3:uid="{AC8109FF-9574-4B0C-88EA-9C5763287AC8}" uniqueName="14" name="Revenue" queryTableFieldId="14"/>
    <tableColumn id="15" xr3:uid="{CD8CDA4F-7F54-4B17-B19B-8525559199AC}" uniqueName="15" name="EBITDA" queryTableFieldId="15"/>
    <tableColumn id="16" xr3:uid="{3198157C-E572-4E35-AF83-41DEDDC31BC1}" uniqueName="16" name="EBIT" queryTableFieldId="16"/>
    <tableColumn id="17" xr3:uid="{ABAAF007-A73B-47F1-8367-5974DEB2B859}" uniqueName="17" name="Net_Income" queryTableFieldId="17"/>
    <tableColumn id="18" xr3:uid="{C78212E8-E828-437D-AEDE-EC700BA1A724}" uniqueName="18" name="Total_Assets" queryTableFieldId="18"/>
    <tableColumn id="19" xr3:uid="{5BAF33F4-75D0-44E2-ADF3-02947C1F54E3}" uniqueName="19" name="Total_Debt" queryTableFieldId="19"/>
    <tableColumn id="20" xr3:uid="{E46CAA7E-181A-4F37-93D2-245F539EDAF3}" uniqueName="20" name="Cash" queryTableFieldId="20"/>
    <tableColumn id="21" xr3:uid="{7116D2AC-3DB2-4239-B8C5-0B07A55AEE9A}" uniqueName="21" name="Net_Debt" queryTableFieldId="31"/>
    <tableColumn id="22" xr3:uid="{076E4771-542C-4C5E-AF95-E0940C226CE5}" uniqueName="22" name="Capex" queryTableFieldId="22"/>
    <tableColumn id="23" xr3:uid="{691EA783-C8A2-4BA6-9352-20B5282CC58C}" uniqueName="23" name="Date" queryTableFieldId="23" dataDxfId="0"/>
    <tableColumn id="24" xr3:uid="{2274EA94-99BD-4CC8-9971-527ECA8F4476}" uniqueName="24" name="Share_Price" queryTableFieldId="24"/>
    <tableColumn id="25" xr3:uid="{A56FA1B0-A828-496B-848B-B46387396416}" uniqueName="25" name="Shares_Outstanding" queryTableFieldId="25"/>
    <tableColumn id="26" xr3:uid="{16FDD0BA-6590-4B45-A46B-9A61CC438D32}" uniqueName="26" name="LBO_Score" queryTableFieldId="26"/>
    <tableColumn id="27" xr3:uid="{6452DE90-FE84-476F-BC21-196B5F904A55}" uniqueName="27" name="Op_Efficiency_Score" queryTableFieldId="27"/>
    <tableColumn id="28" xr3:uid="{96B701DE-64C4-4F40-955B-22B1419AD154}" uniqueName="28" name="Deep_Value_Score" queryTableFieldId="28"/>
    <tableColumn id="29" xr3:uid="{7E2C287A-025A-489B-BFBE-2DB208FCE73B}" uniqueName="29" name="Bankruptcy_Risk_AltmanZ" queryTableFieldId="29"/>
    <tableColumn id="33" xr3:uid="{1054910E-B0FE-4DEE-9E71-A73A0100D8B5}" uniqueName="33" name="Score_Serviceability" queryTableFieldId="38"/>
    <tableColumn id="34" xr3:uid="{7E75D6FD-0D53-4C36-94AC-04D80AE22611}" uniqueName="34" name="Score_Optimization" queryTableFieldId="39"/>
    <tableColumn id="35" xr3:uid="{9A049083-2388-4877-8FF3-40B42E8CD8AE}" uniqueName="35" name="Score_Collateral" queryTableFieldId="40"/>
    <tableColumn id="36" xr3:uid="{F736BA6F-503E-484C-9E1D-C60B54D70F9D}" uniqueName="36" name="SAI_Score" queryTableFieldId="41"/>
    <tableColumn id="37" xr3:uid="{16F4A432-9A2D-42C9-B423-C35FAF0FF2F7}" uniqueName="37" name="RealMultiple" queryTableField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475A43-38A7-4E9C-9365-73DEE6966E46}" name="TaxTable" displayName="TaxTable" ref="A1:B19" tableType="queryTable" totalsRowShown="0">
  <autoFilter ref="A1:B19" xr:uid="{49475A43-38A7-4E9C-9365-73DEE6966E46}"/>
  <tableColumns count="2">
    <tableColumn id="1" xr3:uid="{7CC273D6-3A06-4CE0-AF69-94F202C1BF38}" uniqueName="1" name="country_name" queryTableFieldId="1" dataDxfId="2"/>
    <tableColumn id="2" xr3:uid="{C87FFC04-1935-458A-BCAF-CA82E070A722}" uniqueName="2" name="tax_rat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6EE44-DB65-4B3E-976B-79967C121A4B}" name="SectBenchTable" displayName="SectBenchTable" ref="A1:H12" tableType="queryTable" totalsRowShown="0">
  <autoFilter ref="A1:H12" xr:uid="{C4E6EE44-DB65-4B3E-976B-79967C121A4B}"/>
  <tableColumns count="8">
    <tableColumn id="1" xr3:uid="{9FA08BBC-48D5-4B40-A3A0-A1A9C594BCA2}" uniqueName="1" name="sector" queryTableFieldId="1" dataDxfId="1"/>
    <tableColumn id="2" xr3:uid="{E69C662B-680F-4F4C-8E75-BB64922026BD}" uniqueName="2" name="target_ebitda_mult" queryTableFieldId="2"/>
    <tableColumn id="3" xr3:uid="{37D6FC5A-B136-4335-8DBA-8776DDE02539}" uniqueName="3" name="annual_growth" queryTableFieldId="3"/>
    <tableColumn id="4" xr3:uid="{7AC75B88-0F57-42AE-AAFD-3EDE3CED164E}" uniqueName="4" name="max_leverage" queryTableFieldId="4"/>
    <tableColumn id="5" xr3:uid="{F468E7C8-8617-4127-A591-4BD157873D49}" uniqueName="5" name="nwc_variation_revenue" queryTableFieldId="5"/>
    <tableColumn id="6" xr3:uid="{BB1638FD-1C8C-49CF-B69F-0F1FA7E24826}" uniqueName="6" name="capex_to_revenue" queryTableFieldId="6"/>
    <tableColumn id="7" xr3:uid="{9F25C148-11BE-426E-95CC-1150ADD68D1E}" uniqueName="7" name="ebitda_margin_target" queryTableFieldId="7"/>
    <tableColumn id="8" xr3:uid="{D3CA9F76-3C34-4463-AA12-BF547E921E4E}" uniqueName="8" name="sector_beta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618A-A1BE-41CE-925D-C34269854DA6}">
  <dimension ref="A2:J7"/>
  <sheetViews>
    <sheetView tabSelected="1" zoomScale="66" workbookViewId="0">
      <selection activeCell="B4" sqref="B4"/>
    </sheetView>
  </sheetViews>
  <sheetFormatPr defaultRowHeight="14.5" x14ac:dyDescent="0.35"/>
  <cols>
    <col min="1" max="1" width="32.90625" customWidth="1"/>
    <col min="2" max="2" width="11.453125" customWidth="1"/>
    <col min="5" max="5" width="18.54296875" customWidth="1"/>
    <col min="6" max="6" width="12" customWidth="1"/>
    <col min="9" max="9" width="21.54296875" customWidth="1"/>
    <col min="10" max="10" width="23.1796875" customWidth="1"/>
  </cols>
  <sheetData>
    <row r="2" spans="1:10" x14ac:dyDescent="0.35">
      <c r="A2" s="94" t="s">
        <v>401</v>
      </c>
      <c r="B2" s="95"/>
      <c r="C2" s="88"/>
      <c r="D2" s="88"/>
      <c r="E2" s="99" t="s">
        <v>406</v>
      </c>
      <c r="F2" s="95"/>
      <c r="G2" s="88"/>
      <c r="H2" s="88"/>
      <c r="I2" s="99" t="s">
        <v>411</v>
      </c>
      <c r="J2" s="105"/>
    </row>
    <row r="3" spans="1:10" x14ac:dyDescent="0.35">
      <c r="A3" s="92" t="s">
        <v>396</v>
      </c>
      <c r="B3" s="109" t="s">
        <v>482</v>
      </c>
      <c r="E3" s="100" t="s">
        <v>396</v>
      </c>
      <c r="F3" s="108" t="s">
        <v>482</v>
      </c>
      <c r="I3" s="100" t="s">
        <v>396</v>
      </c>
      <c r="J3" s="108" t="s">
        <v>482</v>
      </c>
    </row>
    <row r="4" spans="1:10" ht="42" x14ac:dyDescent="0.35">
      <c r="A4" s="92" t="s">
        <v>397</v>
      </c>
      <c r="B4" s="89">
        <f>_xlfn.XLOOKUP(Setup!E4, SectBenchTable[sector], SectBenchTable[target_ebitda_mult])</f>
        <v>9.5</v>
      </c>
      <c r="E4" s="101" t="s">
        <v>402</v>
      </c>
      <c r="F4" s="97">
        <f>_xlfn.XLOOKUP(Setup!B2, Table_Data[symbol], Table_Data[avg_revenue_growth])</f>
        <v>0.14180000000000001</v>
      </c>
      <c r="I4" s="101" t="s">
        <v>407</v>
      </c>
      <c r="J4" s="103">
        <v>0.08</v>
      </c>
    </row>
    <row r="5" spans="1:10" ht="28" x14ac:dyDescent="0.35">
      <c r="A5" s="92" t="s">
        <v>398</v>
      </c>
      <c r="B5" s="90">
        <v>0.03</v>
      </c>
      <c r="E5" s="101" t="s">
        <v>403</v>
      </c>
      <c r="F5" s="97">
        <f>_xlfn.XLOOKUP(Setup!E4, SectBenchTable[sector], SectBenchTable[ebitda_margin_target])</f>
        <v>0.18</v>
      </c>
      <c r="I5" s="101" t="s">
        <v>408</v>
      </c>
      <c r="J5" s="97">
        <f>_xlfn.XLOOKUP(Setup!E5,TaxTable[country_name],TaxTable[tax_rate] )</f>
        <v>0.25</v>
      </c>
    </row>
    <row r="6" spans="1:10" ht="28" x14ac:dyDescent="0.35">
      <c r="A6" s="92" t="s">
        <v>399</v>
      </c>
      <c r="B6" s="89" t="s">
        <v>465</v>
      </c>
      <c r="E6" s="101" t="s">
        <v>404</v>
      </c>
      <c r="F6" s="97">
        <f>Setup!E9</f>
        <v>1.5900000000000001E-2</v>
      </c>
      <c r="I6" s="101" t="s">
        <v>409</v>
      </c>
      <c r="J6" s="96">
        <v>5</v>
      </c>
    </row>
    <row r="7" spans="1:10" ht="28" x14ac:dyDescent="0.35">
      <c r="A7" s="93" t="s">
        <v>400</v>
      </c>
      <c r="B7" s="91">
        <v>0.15</v>
      </c>
      <c r="E7" s="102" t="s">
        <v>405</v>
      </c>
      <c r="F7" s="98">
        <f>_xlfn.XLOOKUP(Setup!E4, SectBenchTable[sector], SectBenchTable[nwc_variation_revenue])</f>
        <v>0.08</v>
      </c>
      <c r="I7" s="102" t="s">
        <v>410</v>
      </c>
      <c r="J7" s="104">
        <f>B4</f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BCD2-CE35-4402-B14F-AA98EA5D93CC}">
  <dimension ref="B2:E10"/>
  <sheetViews>
    <sheetView zoomScale="54" zoomScaleNormal="54" workbookViewId="0">
      <selection activeCell="B2" sqref="B2"/>
    </sheetView>
  </sheetViews>
  <sheetFormatPr defaultRowHeight="14.5" x14ac:dyDescent="0.35"/>
  <cols>
    <col min="2" max="2" width="17.90625" customWidth="1"/>
    <col min="4" max="4" width="30.08984375" customWidth="1"/>
    <col min="5" max="5" width="28.90625" customWidth="1"/>
    <col min="6" max="6" width="29.08984375" customWidth="1"/>
    <col min="8" max="11" width="8.7265625" customWidth="1"/>
  </cols>
  <sheetData>
    <row r="2" spans="2:5" ht="39.5" customHeight="1" x14ac:dyDescent="0.35">
      <c r="B2" s="106" t="s">
        <v>237</v>
      </c>
      <c r="D2" s="81" t="s">
        <v>390</v>
      </c>
      <c r="E2" s="81" t="s">
        <v>482</v>
      </c>
    </row>
    <row r="3" spans="2:5" ht="49.5" customHeight="1" x14ac:dyDescent="0.35">
      <c r="B3" s="107" t="s">
        <v>483</v>
      </c>
      <c r="D3" s="82" t="s">
        <v>391</v>
      </c>
      <c r="E3" s="83" t="str">
        <f>_xlfn.XLOOKUP($B$2, Table_Data[symbol], Table_Data[name])</f>
        <v>ACS, Actividades de Construcción y Servicios, S.A.</v>
      </c>
    </row>
    <row r="4" spans="2:5" ht="49.5" customHeight="1" x14ac:dyDescent="0.35">
      <c r="D4" s="82" t="s">
        <v>478</v>
      </c>
      <c r="E4" s="83" t="str">
        <f>_xlfn.XLOOKUP(B2,Table_Data[symbol], Table_Data[sector])</f>
        <v>Industrials</v>
      </c>
    </row>
    <row r="5" spans="2:5" ht="49.5" customHeight="1" x14ac:dyDescent="0.35">
      <c r="D5" s="82" t="s">
        <v>479</v>
      </c>
      <c r="E5" s="83" t="str">
        <f>_xlfn.XLOOKUP(B2,Table_Data[symbol], Table_Data[country])</f>
        <v>Spain</v>
      </c>
    </row>
    <row r="6" spans="2:5" ht="39" customHeight="1" x14ac:dyDescent="0.35">
      <c r="D6" s="82" t="s">
        <v>392</v>
      </c>
      <c r="E6" s="87">
        <f>_xlfn.XLOOKUP($B$2, Table_Data[symbol], Table_Data[EBITDA])</f>
        <v>2702859000</v>
      </c>
    </row>
    <row r="7" spans="2:5" ht="36" customHeight="1" x14ac:dyDescent="0.35">
      <c r="D7" s="82" t="s">
        <v>393</v>
      </c>
      <c r="E7" s="87">
        <f>_xlfn.XLOOKUP($B$2, Table_Data[symbol], Table_Data[Net_Debt])</f>
        <v>2791044000</v>
      </c>
    </row>
    <row r="8" spans="2:5" ht="54.5" customHeight="1" x14ac:dyDescent="0.35">
      <c r="D8" s="82" t="s">
        <v>394</v>
      </c>
      <c r="E8" s="85">
        <f>_xlfn.XLOOKUP($B$2, Table_Data[symbol], Table_Data[SAI_Score])</f>
        <v>11.443139116641387</v>
      </c>
    </row>
    <row r="9" spans="2:5" ht="44" customHeight="1" x14ac:dyDescent="0.35">
      <c r="D9" s="82" t="s">
        <v>395</v>
      </c>
      <c r="E9" s="84">
        <f>_xlfn.XLOOKUP($B$2, Table_Data[symbol], Table_Data[capex_intensity])</f>
        <v>1.5900000000000001E-2</v>
      </c>
    </row>
    <row r="10" spans="2:5" ht="32" customHeight="1" x14ac:dyDescent="0.35">
      <c r="D10" s="82" t="s">
        <v>464</v>
      </c>
      <c r="E10" s="86">
        <f>_xlfn.XLOOKUP(Setup!B2, Table_Data[symbol], Table_Data[market_cap])</f>
        <v>27067064320</v>
      </c>
    </row>
  </sheetData>
  <dataValidations count="1">
    <dataValidation type="list" allowBlank="1" showInputMessage="1" showErrorMessage="1" sqref="B2" xr:uid="{E8AA3314-68BB-4309-ADA5-33782948539D}">
      <formula1>INDIRECT("Table_Data[symbol]")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A3AF-39E3-48E3-B4F0-22E7D0C6F82F}">
  <dimension ref="A2:P106"/>
  <sheetViews>
    <sheetView zoomScale="58" zoomScaleNormal="62" workbookViewId="0">
      <selection activeCell="L47" sqref="L47"/>
    </sheetView>
  </sheetViews>
  <sheetFormatPr defaultColWidth="8.81640625" defaultRowHeight="14.5" x14ac:dyDescent="0.35"/>
  <cols>
    <col min="1" max="1" width="3.6328125" style="5" customWidth="1"/>
    <col min="2" max="2" width="11.81640625" customWidth="1"/>
    <col min="3" max="3" width="10.90625" customWidth="1"/>
    <col min="5" max="5" width="15" bestFit="1" customWidth="1"/>
    <col min="6" max="7" width="9" bestFit="1" customWidth="1"/>
    <col min="10" max="10" width="15.7265625" customWidth="1"/>
    <col min="11" max="11" width="19.81640625" bestFit="1" customWidth="1"/>
    <col min="12" max="12" width="19.453125" bestFit="1" customWidth="1"/>
    <col min="13" max="14" width="19.81640625" bestFit="1" customWidth="1"/>
    <col min="15" max="15" width="17.90625" customWidth="1"/>
  </cols>
  <sheetData>
    <row r="2" spans="1:15" s="4" customFormat="1" ht="21" x14ac:dyDescent="0.5">
      <c r="A2" s="2"/>
      <c r="B2" s="3" t="s">
        <v>484</v>
      </c>
      <c r="C2" s="3" t="str">
        <f>Setup!E3</f>
        <v>ACS, Actividades de Construcción y Servicios, S.A.</v>
      </c>
    </row>
    <row r="4" spans="1:15" x14ac:dyDescent="0.35">
      <c r="B4" s="6" t="s">
        <v>486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5" customHeight="1" x14ac:dyDescent="0.3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35">
      <c r="B6" s="10" t="s">
        <v>485</v>
      </c>
      <c r="C6" s="10"/>
      <c r="D6" s="10"/>
      <c r="E6" s="10"/>
      <c r="G6" s="10" t="s">
        <v>412</v>
      </c>
      <c r="H6" s="10"/>
      <c r="I6" s="10"/>
      <c r="J6" s="11"/>
      <c r="L6" s="10" t="s">
        <v>413</v>
      </c>
      <c r="M6" s="10"/>
      <c r="N6" s="11" t="s">
        <v>495</v>
      </c>
      <c r="O6" s="11" t="s">
        <v>494</v>
      </c>
    </row>
    <row r="7" spans="1:15" x14ac:dyDescent="0.35">
      <c r="B7" t="s">
        <v>414</v>
      </c>
      <c r="E7" s="12">
        <f>J9</f>
        <v>2702859000</v>
      </c>
      <c r="G7" s="13" t="s">
        <v>415</v>
      </c>
      <c r="L7" t="s">
        <v>491</v>
      </c>
      <c r="N7" s="14">
        <v>4</v>
      </c>
      <c r="O7" s="15">
        <v>0.06</v>
      </c>
    </row>
    <row r="8" spans="1:15" x14ac:dyDescent="0.35">
      <c r="B8" s="4" t="s">
        <v>417</v>
      </c>
      <c r="C8" s="4"/>
      <c r="D8" s="4"/>
      <c r="E8" s="16">
        <f>AVERAGE(Admin_Inputs!B4, _xlfn.XLOOKUP(Setup!B2, Table_Data[symbol],  Table_Data[RealMultiple]))</f>
        <v>9.7571173376043667</v>
      </c>
      <c r="G8" t="s">
        <v>490</v>
      </c>
      <c r="J8" s="17">
        <f>_xlfn.XLOOKUP(Setup!B2, Table_Data[symbol], Table_Data[Revenue])</f>
        <v>41633120000</v>
      </c>
      <c r="L8" t="s">
        <v>492</v>
      </c>
      <c r="N8" s="14">
        <v>2</v>
      </c>
      <c r="O8" s="15">
        <v>0.12</v>
      </c>
    </row>
    <row r="9" spans="1:15" x14ac:dyDescent="0.35">
      <c r="B9" s="18" t="s">
        <v>487</v>
      </c>
      <c r="C9" s="18"/>
      <c r="D9" s="18"/>
      <c r="E9" s="19">
        <f>E7*E8</f>
        <v>26372112410</v>
      </c>
      <c r="G9" t="s">
        <v>3</v>
      </c>
      <c r="J9" s="17">
        <f>Setup!E6</f>
        <v>2702859000</v>
      </c>
      <c r="K9" s="20"/>
    </row>
    <row r="10" spans="1:15" x14ac:dyDescent="0.35">
      <c r="B10" s="4" t="s">
        <v>488</v>
      </c>
      <c r="C10" s="4"/>
      <c r="D10" s="4"/>
      <c r="E10" s="21">
        <f>Setup!E7</f>
        <v>2791044000</v>
      </c>
      <c r="G10" t="s">
        <v>419</v>
      </c>
      <c r="J10" s="17">
        <f>_xlfn.XLOOKUP(Setup!B2, Table_Data[symbol], Table_Data[depreciation_amortization])</f>
        <v>969658000</v>
      </c>
      <c r="L10" s="10" t="s">
        <v>420</v>
      </c>
      <c r="M10" s="10"/>
      <c r="N10" s="11"/>
      <c r="O10" s="11"/>
    </row>
    <row r="11" spans="1:15" x14ac:dyDescent="0.35">
      <c r="B11" s="18" t="s">
        <v>489</v>
      </c>
      <c r="C11" s="18"/>
      <c r="D11" s="18"/>
      <c r="E11" s="19">
        <f>E9-E10</f>
        <v>23581068410</v>
      </c>
      <c r="G11" t="s">
        <v>9</v>
      </c>
      <c r="J11" s="17">
        <f>_xlfn.XLOOKUP(Setup!B2, Table_Data[symbol], Table_Data[Capex])</f>
        <v>612491000</v>
      </c>
      <c r="L11" t="s">
        <v>493</v>
      </c>
      <c r="O11" s="22">
        <f>O106</f>
        <v>0.29725108963472047</v>
      </c>
    </row>
    <row r="12" spans="1:15" x14ac:dyDescent="0.35">
      <c r="G12" t="s">
        <v>463</v>
      </c>
      <c r="J12" s="17">
        <f>Setup!E6 -LBO_Temp!J11-(_xlfn.XLOOKUP(Setup!B2, Table_Data[symbol], Table_Data[fcf_yield]))*Setup!E10</f>
        <v>-226572705.79199982</v>
      </c>
    </row>
    <row r="13" spans="1:15" x14ac:dyDescent="0.35">
      <c r="B13" t="s">
        <v>502</v>
      </c>
      <c r="E13" s="17">
        <f>J8*Admin_Inputs!B5</f>
        <v>1248993600</v>
      </c>
    </row>
    <row r="14" spans="1:15" x14ac:dyDescent="0.35">
      <c r="E14" s="23"/>
      <c r="G14" s="13" t="s">
        <v>422</v>
      </c>
    </row>
    <row r="15" spans="1:15" x14ac:dyDescent="0.35">
      <c r="B15" s="10" t="s">
        <v>496</v>
      </c>
      <c r="C15" s="10"/>
      <c r="D15" s="10"/>
      <c r="E15" s="10"/>
      <c r="G15" t="s">
        <v>423</v>
      </c>
      <c r="J15" s="15">
        <f>(Admin_Inputs!F4+ (_xlfn.XLOOKUP(Setup!E4, SectBenchTable[sector], SectBenchTable[annual_growth])))/2</f>
        <v>8.8400000000000006E-2</v>
      </c>
    </row>
    <row r="16" spans="1:15" x14ac:dyDescent="0.35">
      <c r="B16" t="s">
        <v>417</v>
      </c>
      <c r="E16" s="24">
        <f>E8</f>
        <v>9.7571173376043667</v>
      </c>
      <c r="G16" t="s">
        <v>424</v>
      </c>
      <c r="J16" s="15">
        <v>3.0000000000000001E-3</v>
      </c>
    </row>
    <row r="17" spans="2:15" x14ac:dyDescent="0.35">
      <c r="G17" t="s">
        <v>425</v>
      </c>
      <c r="J17" s="15">
        <f>Admin_Inputs!J5</f>
        <v>0.25</v>
      </c>
    </row>
    <row r="18" spans="2:15" x14ac:dyDescent="0.35">
      <c r="J18" s="25"/>
    </row>
    <row r="19" spans="2:15" x14ac:dyDescent="0.35">
      <c r="B19" s="6" t="s">
        <v>504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15" ht="5" customHeight="1" x14ac:dyDescent="0.35">
      <c r="J20" s="25"/>
    </row>
    <row r="21" spans="2:15" x14ac:dyDescent="0.35">
      <c r="B21" s="10" t="s">
        <v>498</v>
      </c>
      <c r="C21" s="10"/>
      <c r="D21" s="10"/>
      <c r="E21" s="10"/>
      <c r="F21" s="10"/>
      <c r="G21" s="10"/>
      <c r="J21" s="10" t="s">
        <v>497</v>
      </c>
      <c r="K21" s="10"/>
      <c r="L21" s="10"/>
      <c r="M21" s="10"/>
      <c r="N21" s="10"/>
      <c r="O21" s="10"/>
    </row>
    <row r="22" spans="2:15" x14ac:dyDescent="0.35">
      <c r="E22" s="26" t="s">
        <v>499</v>
      </c>
      <c r="F22" s="26" t="s">
        <v>426</v>
      </c>
      <c r="G22" s="26" t="s">
        <v>427</v>
      </c>
      <c r="M22" s="26" t="s">
        <v>499</v>
      </c>
      <c r="N22" s="26" t="s">
        <v>426</v>
      </c>
      <c r="O22" s="26" t="s">
        <v>427</v>
      </c>
    </row>
    <row r="23" spans="2:15" x14ac:dyDescent="0.35">
      <c r="B23" t="str">
        <f>L7</f>
        <v>Dette Bancaire</v>
      </c>
      <c r="E23" s="27">
        <f>F23*$J$9</f>
        <v>10811436000</v>
      </c>
      <c r="F23" s="28">
        <f>N7</f>
        <v>4</v>
      </c>
      <c r="G23" s="29">
        <f>E23/$E$29</f>
        <v>0.39141937314479031</v>
      </c>
      <c r="J23" t="s">
        <v>500</v>
      </c>
      <c r="M23" s="30">
        <f>E10</f>
        <v>2791044000</v>
      </c>
      <c r="N23" s="31">
        <f>M23/$J$9</f>
        <v>1.0326265632058498</v>
      </c>
      <c r="O23" s="29">
        <f>M23/$M$29</f>
        <v>0.10104751051567323</v>
      </c>
    </row>
    <row r="24" spans="2:15" x14ac:dyDescent="0.35">
      <c r="B24" s="4" t="str">
        <f>L8</f>
        <v>Obligations Senior</v>
      </c>
      <c r="C24" s="32"/>
      <c r="D24" s="32"/>
      <c r="E24" s="32">
        <f>F24*$J$9</f>
        <v>5405718000</v>
      </c>
      <c r="F24" s="33">
        <f>N8</f>
        <v>2</v>
      </c>
      <c r="G24" s="34">
        <f t="shared" ref="G24:G29" si="0">E24/$E$29</f>
        <v>0.19570968657239515</v>
      </c>
      <c r="J24" t="s">
        <v>501</v>
      </c>
      <c r="M24" s="30">
        <f>E11</f>
        <v>23581068410</v>
      </c>
      <c r="N24" s="31">
        <f>M24/$J$9</f>
        <v>8.7244907743985163</v>
      </c>
      <c r="O24" s="29">
        <f>M24/$M$29</f>
        <v>0.85373367748064333</v>
      </c>
    </row>
    <row r="25" spans="2:15" x14ac:dyDescent="0.35">
      <c r="B25" s="18" t="s">
        <v>428</v>
      </c>
      <c r="C25" s="18"/>
      <c r="D25" s="18"/>
      <c r="E25" s="35">
        <f>E23+E24</f>
        <v>16217154000</v>
      </c>
      <c r="F25" s="36">
        <f>E25/J9</f>
        <v>6</v>
      </c>
      <c r="G25" s="37">
        <f t="shared" si="0"/>
        <v>0.58712905971718543</v>
      </c>
      <c r="M25" s="27"/>
      <c r="O25" s="29"/>
    </row>
    <row r="26" spans="2:15" x14ac:dyDescent="0.35">
      <c r="J26" t="s">
        <v>502</v>
      </c>
      <c r="M26" s="30">
        <f>E13</f>
        <v>1248993600</v>
      </c>
      <c r="N26" s="31">
        <f>M26/$J$9</f>
        <v>0.46210090870444964</v>
      </c>
      <c r="O26" s="29">
        <f>M26/$M$29</f>
        <v>4.5218812003683412E-2</v>
      </c>
    </row>
    <row r="27" spans="2:15" x14ac:dyDescent="0.35">
      <c r="B27" t="s">
        <v>503</v>
      </c>
      <c r="E27" s="27">
        <f>E29-E25</f>
        <v>11403952010</v>
      </c>
      <c r="F27" s="31">
        <f>E27/J9</f>
        <v>4.2192182463088157</v>
      </c>
      <c r="G27" s="29">
        <f t="shared" si="0"/>
        <v>0.41287094028281457</v>
      </c>
      <c r="M27" s="38"/>
    </row>
    <row r="28" spans="2:15" x14ac:dyDescent="0.35">
      <c r="E28" s="27"/>
      <c r="F28" s="31"/>
      <c r="G28" s="29"/>
      <c r="M28" s="27"/>
      <c r="N28" s="31"/>
      <c r="O28" s="29"/>
    </row>
    <row r="29" spans="2:15" x14ac:dyDescent="0.35">
      <c r="B29" s="39" t="s">
        <v>429</v>
      </c>
      <c r="C29" s="40"/>
      <c r="D29" s="40"/>
      <c r="E29" s="41">
        <f>M29</f>
        <v>27621106010</v>
      </c>
      <c r="F29" s="42">
        <f>E29/J9</f>
        <v>10.219218246308817</v>
      </c>
      <c r="G29" s="43">
        <f t="shared" si="0"/>
        <v>1</v>
      </c>
      <c r="J29" s="39" t="s">
        <v>430</v>
      </c>
      <c r="K29" s="40"/>
      <c r="L29" s="40"/>
      <c r="M29" s="41">
        <f>M23+M24+M26</f>
        <v>27621106010</v>
      </c>
      <c r="N29" s="42">
        <f>N23+N24+N26</f>
        <v>10.219218246308817</v>
      </c>
      <c r="O29" s="43">
        <f>M29/$M$29</f>
        <v>1</v>
      </c>
    </row>
    <row r="30" spans="2:15" x14ac:dyDescent="0.35">
      <c r="E30" s="27"/>
      <c r="F30" s="31"/>
      <c r="G30" s="29"/>
      <c r="L30" s="27"/>
      <c r="M30" s="31"/>
      <c r="N30" s="29"/>
    </row>
    <row r="32" spans="2:15" collapsed="1" x14ac:dyDescent="0.35">
      <c r="B32" s="6" t="s">
        <v>412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2:15" ht="3" customHeight="1" x14ac:dyDescent="0.35"/>
    <row r="34" spans="2:15" x14ac:dyDescent="0.35">
      <c r="B34" s="10" t="s">
        <v>431</v>
      </c>
      <c r="C34" s="10"/>
      <c r="D34" s="10"/>
      <c r="E34" s="10"/>
      <c r="F34" s="10"/>
      <c r="G34" s="10"/>
      <c r="H34" s="10"/>
      <c r="I34" s="10"/>
      <c r="J34" s="11" t="s">
        <v>432</v>
      </c>
      <c r="K34" s="11" t="s">
        <v>433</v>
      </c>
      <c r="L34" s="11" t="s">
        <v>434</v>
      </c>
      <c r="M34" s="11" t="s">
        <v>435</v>
      </c>
      <c r="N34" s="11" t="s">
        <v>436</v>
      </c>
      <c r="O34" s="11" t="s">
        <v>437</v>
      </c>
    </row>
    <row r="35" spans="2:15" x14ac:dyDescent="0.35">
      <c r="B35" t="s">
        <v>2</v>
      </c>
      <c r="J35" s="44">
        <f>J8</f>
        <v>41633120000</v>
      </c>
      <c r="K35" s="27">
        <f>J35*(1+K36)</f>
        <v>45313487808</v>
      </c>
      <c r="L35" s="27">
        <f t="shared" ref="L35:O35" si="1">K35*(1+L36)</f>
        <v>49319200130.227203</v>
      </c>
      <c r="M35" s="27">
        <f t="shared" si="1"/>
        <v>53679017421.739288</v>
      </c>
      <c r="N35" s="27">
        <f t="shared" si="1"/>
        <v>58424242561.821045</v>
      </c>
      <c r="O35" s="27">
        <f t="shared" si="1"/>
        <v>63588945604.286026</v>
      </c>
    </row>
    <row r="36" spans="2:15" ht="14.5" customHeight="1" x14ac:dyDescent="0.35">
      <c r="B36" s="45" t="s">
        <v>438</v>
      </c>
      <c r="J36" s="46"/>
      <c r="K36" s="47">
        <f>$J$15</f>
        <v>8.8400000000000006E-2</v>
      </c>
      <c r="L36" s="47">
        <f>K36</f>
        <v>8.8400000000000006E-2</v>
      </c>
      <c r="M36" s="47">
        <f t="shared" ref="M36:O36" si="2">L36</f>
        <v>8.8400000000000006E-2</v>
      </c>
      <c r="N36" s="47">
        <f t="shared" si="2"/>
        <v>8.8400000000000006E-2</v>
      </c>
      <c r="O36" s="47">
        <f t="shared" si="2"/>
        <v>8.8400000000000006E-2</v>
      </c>
    </row>
    <row r="37" spans="2:15" x14ac:dyDescent="0.35">
      <c r="J37" s="46"/>
    </row>
    <row r="38" spans="2:15" ht="14.5" customHeight="1" x14ac:dyDescent="0.35">
      <c r="B38" s="48" t="s">
        <v>3</v>
      </c>
      <c r="J38" s="44">
        <f>J9</f>
        <v>2702859000</v>
      </c>
      <c r="K38" s="48">
        <f>K39*K35</f>
        <v>3077732199.0240002</v>
      </c>
      <c r="L38" s="48">
        <f t="shared" ref="L38:O38" si="3">L39*L35</f>
        <v>3497761325.8084035</v>
      </c>
      <c r="M38" s="48">
        <f t="shared" si="3"/>
        <v>3968000479.2750845</v>
      </c>
      <c r="N38" s="48">
        <f t="shared" si="3"/>
        <v>4494044449.3284655</v>
      </c>
      <c r="O38" s="48">
        <f t="shared" si="3"/>
        <v>5082084815.4619598</v>
      </c>
    </row>
    <row r="39" spans="2:15" x14ac:dyDescent="0.35">
      <c r="B39" s="45" t="s">
        <v>439</v>
      </c>
      <c r="J39" s="49">
        <f>J38/J35</f>
        <v>6.4920885103014137E-2</v>
      </c>
      <c r="K39" s="50">
        <f>J39+$J$16</f>
        <v>6.7920885103014139E-2</v>
      </c>
      <c r="L39" s="50">
        <f t="shared" ref="L39:O39" si="4">K39+$J$16</f>
        <v>7.0920885103014142E-2</v>
      </c>
      <c r="M39" s="50">
        <f t="shared" si="4"/>
        <v>7.3920885103014145E-2</v>
      </c>
      <c r="N39" s="50">
        <f t="shared" si="4"/>
        <v>7.6920885103014147E-2</v>
      </c>
      <c r="O39" s="50">
        <f t="shared" si="4"/>
        <v>7.992088510301415E-2</v>
      </c>
    </row>
    <row r="40" spans="2:15" x14ac:dyDescent="0.35">
      <c r="J40" s="46"/>
    </row>
    <row r="41" spans="2:15" x14ac:dyDescent="0.35">
      <c r="B41" t="s">
        <v>4</v>
      </c>
      <c r="J41" s="51">
        <f>J38-J56</f>
        <v>1733201000</v>
      </c>
      <c r="K41" s="52">
        <f>K38-K56</f>
        <v>2022356431.8240001</v>
      </c>
      <c r="L41" s="52">
        <f t="shared" ref="L41:O41" si="5">L38-L56</f>
        <v>2349090340.7879233</v>
      </c>
      <c r="M41" s="52">
        <f t="shared" si="5"/>
        <v>2717786979.1787939</v>
      </c>
      <c r="N41" s="52">
        <f t="shared" si="5"/>
        <v>3133312075.8236628</v>
      </c>
      <c r="O41" s="52">
        <f t="shared" si="5"/>
        <v>3601063700.1393328</v>
      </c>
    </row>
    <row r="42" spans="2:15" x14ac:dyDescent="0.35">
      <c r="B42" s="45" t="s">
        <v>439</v>
      </c>
      <c r="J42" s="49">
        <f>J41/J35</f>
        <v>4.1630341420484461E-2</v>
      </c>
      <c r="K42" s="53">
        <f>K41/K35</f>
        <v>4.4630341420484464E-2</v>
      </c>
      <c r="L42" s="53">
        <f t="shared" ref="L42:O42" si="6">L41/L35</f>
        <v>4.7630341420484459E-2</v>
      </c>
      <c r="M42" s="53">
        <f t="shared" si="6"/>
        <v>5.0630341420484462E-2</v>
      </c>
      <c r="N42" s="53">
        <f t="shared" si="6"/>
        <v>5.3630341420484465E-2</v>
      </c>
      <c r="O42" s="53">
        <f t="shared" si="6"/>
        <v>5.6630341420484467E-2</v>
      </c>
    </row>
    <row r="43" spans="2:15" x14ac:dyDescent="0.35">
      <c r="B43" s="45"/>
      <c r="J43" s="49"/>
      <c r="K43" s="53"/>
      <c r="L43" s="53"/>
      <c r="M43" s="53"/>
      <c r="N43" s="53"/>
      <c r="O43" s="53"/>
    </row>
    <row r="44" spans="2:15" x14ac:dyDescent="0.35">
      <c r="B44" t="s">
        <v>440</v>
      </c>
      <c r="J44" s="46"/>
      <c r="K44" s="54">
        <f>K91</f>
        <v>1297372320</v>
      </c>
      <c r="L44" s="54">
        <f t="shared" ref="L44:O44" si="7">L91</f>
        <v>1240221859.5683994</v>
      </c>
      <c r="M44" s="54">
        <f t="shared" si="7"/>
        <v>1163628488.6086824</v>
      </c>
      <c r="N44" s="54">
        <f t="shared" si="7"/>
        <v>1064637292.0536411</v>
      </c>
      <c r="O44" s="54">
        <f t="shared" si="7"/>
        <v>939924483.00462627</v>
      </c>
    </row>
    <row r="45" spans="2:15" x14ac:dyDescent="0.35">
      <c r="J45" s="44"/>
      <c r="K45" s="48"/>
      <c r="L45" s="48"/>
      <c r="M45" s="48"/>
      <c r="N45" s="48"/>
      <c r="O45" s="48"/>
    </row>
    <row r="46" spans="2:15" x14ac:dyDescent="0.35">
      <c r="B46" t="s">
        <v>441</v>
      </c>
      <c r="J46" s="55"/>
      <c r="K46" s="48">
        <f>K41-K44</f>
        <v>724984111.82400012</v>
      </c>
      <c r="L46" s="48">
        <f t="shared" ref="L46:O46" si="8">L41-L44</f>
        <v>1108868481.2195239</v>
      </c>
      <c r="M46" s="48">
        <f t="shared" si="8"/>
        <v>1554158490.5701115</v>
      </c>
      <c r="N46" s="48">
        <f t="shared" si="8"/>
        <v>2068674783.7700217</v>
      </c>
      <c r="O46" s="48">
        <f t="shared" si="8"/>
        <v>2661139217.1347065</v>
      </c>
    </row>
    <row r="47" spans="2:15" x14ac:dyDescent="0.35">
      <c r="B47" s="45" t="s">
        <v>439</v>
      </c>
      <c r="J47" s="56"/>
      <c r="K47" s="47">
        <f>K46/K35</f>
        <v>1.5999300581227952E-2</v>
      </c>
      <c r="L47" s="47">
        <f t="shared" ref="L47:O47" si="9">L46/L35</f>
        <v>2.2483504969495853E-2</v>
      </c>
      <c r="M47" s="47">
        <f t="shared" si="9"/>
        <v>2.8952811828867383E-2</v>
      </c>
      <c r="N47" s="47">
        <f t="shared" si="9"/>
        <v>3.5407815198991645E-2</v>
      </c>
      <c r="O47" s="47">
        <f t="shared" si="9"/>
        <v>4.1849085432159455E-2</v>
      </c>
    </row>
    <row r="48" spans="2:15" x14ac:dyDescent="0.35">
      <c r="J48" s="55"/>
      <c r="K48" s="48"/>
      <c r="L48" s="48"/>
      <c r="M48" s="48"/>
      <c r="N48" s="48"/>
      <c r="O48" s="48"/>
    </row>
    <row r="49" spans="2:15" x14ac:dyDescent="0.35">
      <c r="B49" t="s">
        <v>442</v>
      </c>
      <c r="J49" s="44"/>
      <c r="K49" s="52">
        <f>K46*K50</f>
        <v>181246027.95600003</v>
      </c>
      <c r="L49" s="52">
        <f t="shared" ref="L49:O49" si="10">L46*L50</f>
        <v>277217120.30488098</v>
      </c>
      <c r="M49" s="52">
        <f t="shared" si="10"/>
        <v>388539622.64252788</v>
      </c>
      <c r="N49" s="52">
        <f t="shared" si="10"/>
        <v>517168695.94250542</v>
      </c>
      <c r="O49" s="52">
        <f t="shared" si="10"/>
        <v>665284804.28367662</v>
      </c>
    </row>
    <row r="50" spans="2:15" x14ac:dyDescent="0.35">
      <c r="B50" s="45" t="s">
        <v>443</v>
      </c>
      <c r="J50" s="56"/>
      <c r="K50" s="47">
        <f>J17</f>
        <v>0.25</v>
      </c>
      <c r="L50" s="47">
        <f>K50</f>
        <v>0.25</v>
      </c>
      <c r="M50" s="47">
        <f t="shared" ref="M50:O50" si="11">L50</f>
        <v>0.25</v>
      </c>
      <c r="N50" s="47">
        <f t="shared" si="11"/>
        <v>0.25</v>
      </c>
      <c r="O50" s="47">
        <f t="shared" si="11"/>
        <v>0.25</v>
      </c>
    </row>
    <row r="51" spans="2:15" x14ac:dyDescent="0.35">
      <c r="B51" s="45"/>
      <c r="J51" s="56"/>
      <c r="K51" s="47"/>
      <c r="L51" s="47"/>
      <c r="M51" s="47"/>
      <c r="N51" s="47"/>
      <c r="O51" s="47"/>
    </row>
    <row r="52" spans="2:15" x14ac:dyDescent="0.35">
      <c r="B52" t="s">
        <v>444</v>
      </c>
      <c r="J52" s="55"/>
      <c r="K52" s="48">
        <f>K46-K49</f>
        <v>543738083.86800003</v>
      </c>
      <c r="L52" s="48">
        <f t="shared" ref="L52:O52" si="12">L46-L49</f>
        <v>831651360.91464293</v>
      </c>
      <c r="M52" s="48">
        <f t="shared" si="12"/>
        <v>1165618867.9275837</v>
      </c>
      <c r="N52" s="48">
        <f t="shared" si="12"/>
        <v>1551506087.8275163</v>
      </c>
      <c r="O52" s="48">
        <f t="shared" si="12"/>
        <v>1995854412.8510299</v>
      </c>
    </row>
    <row r="53" spans="2:15" x14ac:dyDescent="0.35">
      <c r="B53" s="45" t="s">
        <v>439</v>
      </c>
      <c r="J53" s="56"/>
      <c r="K53" s="53">
        <f>K52/K35</f>
        <v>1.1999475435920963E-2</v>
      </c>
      <c r="L53" s="53">
        <f t="shared" ref="L53:O53" si="13">L52/L35</f>
        <v>1.6862628727121892E-2</v>
      </c>
      <c r="M53" s="53">
        <f t="shared" si="13"/>
        <v>2.1714608871650536E-2</v>
      </c>
      <c r="N53" s="53">
        <f t="shared" si="13"/>
        <v>2.6555861399243735E-2</v>
      </c>
      <c r="O53" s="53">
        <f t="shared" si="13"/>
        <v>3.1386814074119591E-2</v>
      </c>
    </row>
    <row r="54" spans="2:15" x14ac:dyDescent="0.35">
      <c r="B54" s="45"/>
      <c r="J54" s="46"/>
    </row>
    <row r="55" spans="2:15" x14ac:dyDescent="0.35">
      <c r="B55" s="10" t="s">
        <v>445</v>
      </c>
      <c r="C55" s="10"/>
      <c r="D55" s="10"/>
      <c r="E55" s="10"/>
      <c r="F55" s="10"/>
      <c r="G55" s="10"/>
      <c r="H55" s="10"/>
      <c r="I55" s="10"/>
      <c r="J55" s="11" t="s">
        <v>432</v>
      </c>
      <c r="K55" s="11" t="s">
        <v>433</v>
      </c>
      <c r="L55" s="11" t="s">
        <v>434</v>
      </c>
      <c r="M55" s="11" t="s">
        <v>435</v>
      </c>
      <c r="N55" s="11" t="s">
        <v>436</v>
      </c>
      <c r="O55" s="11" t="s">
        <v>437</v>
      </c>
    </row>
    <row r="56" spans="2:15" x14ac:dyDescent="0.35">
      <c r="B56" t="s">
        <v>419</v>
      </c>
      <c r="J56" s="44">
        <f>J10</f>
        <v>969658000</v>
      </c>
      <c r="K56" s="48">
        <f>K57*K35</f>
        <v>1055375767.2</v>
      </c>
      <c r="L56" s="48">
        <f t="shared" ref="L56:O56" si="14">L57*L35</f>
        <v>1148670985.0204802</v>
      </c>
      <c r="M56" s="48">
        <f t="shared" si="14"/>
        <v>1250213500.0962906</v>
      </c>
      <c r="N56" s="48">
        <f t="shared" si="14"/>
        <v>1360732373.5048027</v>
      </c>
      <c r="O56" s="48">
        <f t="shared" si="14"/>
        <v>1481021115.3226273</v>
      </c>
    </row>
    <row r="57" spans="2:15" x14ac:dyDescent="0.35">
      <c r="B57" s="45" t="s">
        <v>439</v>
      </c>
      <c r="J57" s="49">
        <f>J56/J35</f>
        <v>2.3290543682529679E-2</v>
      </c>
      <c r="K57" s="47">
        <f>J57</f>
        <v>2.3290543682529679E-2</v>
      </c>
      <c r="L57" s="47">
        <f t="shared" ref="L57:O57" si="15">K57</f>
        <v>2.3290543682529679E-2</v>
      </c>
      <c r="M57" s="47">
        <f t="shared" si="15"/>
        <v>2.3290543682529679E-2</v>
      </c>
      <c r="N57" s="47">
        <f t="shared" si="15"/>
        <v>2.3290543682529679E-2</v>
      </c>
      <c r="O57" s="47">
        <f t="shared" si="15"/>
        <v>2.3290543682529679E-2</v>
      </c>
    </row>
    <row r="58" spans="2:15" x14ac:dyDescent="0.35">
      <c r="B58" s="45"/>
      <c r="J58" s="46"/>
    </row>
    <row r="59" spans="2:15" x14ac:dyDescent="0.35">
      <c r="B59" t="s">
        <v>446</v>
      </c>
      <c r="J59" s="44">
        <f>J12</f>
        <v>-226572705.79199982</v>
      </c>
      <c r="K59" s="48">
        <f>K60*K35</f>
        <v>-246601732.9840126</v>
      </c>
      <c r="L59" s="48">
        <f t="shared" ref="L59:O59" si="16">L60*L35</f>
        <v>-268401326.17979932</v>
      </c>
      <c r="M59" s="48">
        <f t="shared" si="16"/>
        <v>-292128003.41409361</v>
      </c>
      <c r="N59" s="48">
        <f t="shared" si="16"/>
        <v>-317952118.91589946</v>
      </c>
      <c r="O59" s="48">
        <f t="shared" si="16"/>
        <v>-346059086.22806501</v>
      </c>
    </row>
    <row r="60" spans="2:15" x14ac:dyDescent="0.35">
      <c r="B60" s="45" t="s">
        <v>439</v>
      </c>
      <c r="J60" s="57">
        <f>J59/J35</f>
        <v>-5.4421265038988144E-3</v>
      </c>
      <c r="K60" s="47">
        <f>J60</f>
        <v>-5.4421265038988144E-3</v>
      </c>
      <c r="L60" s="47">
        <f t="shared" ref="L60:O60" si="17">K60</f>
        <v>-5.4421265038988144E-3</v>
      </c>
      <c r="M60" s="47">
        <f t="shared" si="17"/>
        <v>-5.4421265038988144E-3</v>
      </c>
      <c r="N60" s="47">
        <f t="shared" si="17"/>
        <v>-5.4421265038988144E-3</v>
      </c>
      <c r="O60" s="47">
        <f t="shared" si="17"/>
        <v>-5.4421265038988144E-3</v>
      </c>
    </row>
    <row r="61" spans="2:15" x14ac:dyDescent="0.35">
      <c r="B61" t="s">
        <v>447</v>
      </c>
      <c r="J61" s="57"/>
      <c r="K61" s="48">
        <f>K59-J59</f>
        <v>-20029027.192012787</v>
      </c>
      <c r="L61" s="48">
        <f t="shared" ref="L61:O61" si="18">L59-K59</f>
        <v>-21799593.195786715</v>
      </c>
      <c r="M61" s="48">
        <f t="shared" si="18"/>
        <v>-23726677.234294295</v>
      </c>
      <c r="N61" s="48">
        <f t="shared" si="18"/>
        <v>-25824115.501805842</v>
      </c>
      <c r="O61" s="48">
        <f t="shared" si="18"/>
        <v>-28106967.312165558</v>
      </c>
    </row>
    <row r="62" spans="2:15" x14ac:dyDescent="0.35">
      <c r="B62" s="45"/>
      <c r="J62" s="46"/>
      <c r="K62" s="48"/>
      <c r="L62" s="48"/>
      <c r="M62" s="48"/>
      <c r="N62" s="48"/>
      <c r="O62" s="48"/>
    </row>
    <row r="63" spans="2:15" x14ac:dyDescent="0.35">
      <c r="B63" t="s">
        <v>448</v>
      </c>
      <c r="J63" s="58">
        <f>J11</f>
        <v>612491000</v>
      </c>
      <c r="K63" s="48">
        <f>K64*K35</f>
        <v>666635204.39999998</v>
      </c>
      <c r="L63" s="48">
        <f t="shared" ref="L63:O63" si="19">L64*L35</f>
        <v>725565756.46896005</v>
      </c>
      <c r="M63" s="48">
        <f t="shared" si="19"/>
        <v>789705769.34081614</v>
      </c>
      <c r="N63" s="48">
        <f t="shared" si="19"/>
        <v>859515759.35054433</v>
      </c>
      <c r="O63" s="48">
        <f t="shared" si="19"/>
        <v>935496952.47713244</v>
      </c>
    </row>
    <row r="64" spans="2:15" x14ac:dyDescent="0.35">
      <c r="B64" s="45" t="s">
        <v>439</v>
      </c>
      <c r="J64" s="57">
        <f>J63/J35</f>
        <v>1.4711628626439719E-2</v>
      </c>
      <c r="K64" s="47">
        <f>J64</f>
        <v>1.4711628626439719E-2</v>
      </c>
      <c r="L64" s="47">
        <f>K64</f>
        <v>1.4711628626439719E-2</v>
      </c>
      <c r="M64" s="47">
        <f t="shared" ref="M64:O64" si="20">L64</f>
        <v>1.4711628626439719E-2</v>
      </c>
      <c r="N64" s="47">
        <f t="shared" si="20"/>
        <v>1.4711628626439719E-2</v>
      </c>
      <c r="O64" s="47">
        <f t="shared" si="20"/>
        <v>1.4711628626439719E-2</v>
      </c>
    </row>
    <row r="65" spans="2:15" collapsed="1" x14ac:dyDescent="0.35">
      <c r="C65" s="45"/>
      <c r="J65" s="46"/>
    </row>
    <row r="66" spans="2:15" x14ac:dyDescent="0.35">
      <c r="B66" s="10" t="s">
        <v>449</v>
      </c>
      <c r="C66" s="10"/>
      <c r="D66" s="10"/>
      <c r="E66" s="10"/>
      <c r="F66" s="10"/>
      <c r="G66" s="10"/>
      <c r="H66" s="10"/>
      <c r="I66" s="10"/>
      <c r="J66" s="11" t="s">
        <v>432</v>
      </c>
      <c r="K66" s="11" t="s">
        <v>433</v>
      </c>
      <c r="L66" s="11" t="s">
        <v>434</v>
      </c>
      <c r="M66" s="11" t="s">
        <v>435</v>
      </c>
      <c r="N66" s="11" t="s">
        <v>436</v>
      </c>
      <c r="O66" s="11" t="s">
        <v>437</v>
      </c>
    </row>
    <row r="67" spans="2:15" x14ac:dyDescent="0.35">
      <c r="B67" t="s">
        <v>444</v>
      </c>
      <c r="J67" s="46"/>
      <c r="K67" s="59">
        <f>K52</f>
        <v>543738083.86800003</v>
      </c>
      <c r="L67" s="59">
        <f t="shared" ref="L67:O67" si="21">L52</f>
        <v>831651360.91464293</v>
      </c>
      <c r="M67" s="59">
        <f t="shared" si="21"/>
        <v>1165618867.9275837</v>
      </c>
      <c r="N67" s="59">
        <f t="shared" si="21"/>
        <v>1551506087.8275163</v>
      </c>
      <c r="O67" s="59">
        <f t="shared" si="21"/>
        <v>1995854412.8510299</v>
      </c>
    </row>
    <row r="68" spans="2:15" x14ac:dyDescent="0.35">
      <c r="B68" t="s">
        <v>419</v>
      </c>
      <c r="J68" s="46"/>
      <c r="K68" s="59">
        <f>K56</f>
        <v>1055375767.2</v>
      </c>
      <c r="L68" s="59">
        <f t="shared" ref="L68:O68" si="22">L56</f>
        <v>1148670985.0204802</v>
      </c>
      <c r="M68" s="59">
        <f t="shared" si="22"/>
        <v>1250213500.0962906</v>
      </c>
      <c r="N68" s="59">
        <f t="shared" si="22"/>
        <v>1360732373.5048027</v>
      </c>
      <c r="O68" s="59">
        <f t="shared" si="22"/>
        <v>1481021115.3226273</v>
      </c>
    </row>
    <row r="69" spans="2:15" x14ac:dyDescent="0.35">
      <c r="B69" t="s">
        <v>448</v>
      </c>
      <c r="J69" s="46"/>
      <c r="K69" s="59">
        <f>K63</f>
        <v>666635204.39999998</v>
      </c>
      <c r="L69" s="59">
        <f t="shared" ref="L69:O69" si="23">L63</f>
        <v>725565756.46896005</v>
      </c>
      <c r="M69" s="59">
        <f t="shared" si="23"/>
        <v>789705769.34081614</v>
      </c>
      <c r="N69" s="59">
        <f t="shared" si="23"/>
        <v>859515759.35054433</v>
      </c>
      <c r="O69" s="59">
        <f t="shared" si="23"/>
        <v>935496952.47713244</v>
      </c>
    </row>
    <row r="70" spans="2:15" x14ac:dyDescent="0.35">
      <c r="B70" s="4" t="s">
        <v>450</v>
      </c>
      <c r="C70" s="4"/>
      <c r="D70" s="4"/>
      <c r="E70" s="4"/>
      <c r="F70" s="4"/>
      <c r="G70" s="4"/>
      <c r="H70" s="4"/>
      <c r="I70" s="4"/>
      <c r="J70" s="60"/>
      <c r="K70" s="61">
        <f>K61</f>
        <v>-20029027.192012787</v>
      </c>
      <c r="L70" s="61">
        <f t="shared" ref="L70:O70" si="24">L61</f>
        <v>-21799593.195786715</v>
      </c>
      <c r="M70" s="61">
        <f t="shared" si="24"/>
        <v>-23726677.234294295</v>
      </c>
      <c r="N70" s="61">
        <f t="shared" si="24"/>
        <v>-25824115.501805842</v>
      </c>
      <c r="O70" s="61">
        <f t="shared" si="24"/>
        <v>-28106967.312165558</v>
      </c>
    </row>
    <row r="71" spans="2:15" x14ac:dyDescent="0.35">
      <c r="B71" s="39" t="s">
        <v>449</v>
      </c>
      <c r="C71" s="40"/>
      <c r="D71" s="40"/>
      <c r="E71" s="40"/>
      <c r="F71" s="40"/>
      <c r="G71" s="40"/>
      <c r="H71" s="40"/>
      <c r="I71" s="40"/>
      <c r="J71" s="62"/>
      <c r="K71" s="63">
        <f>K67+K68-K69-K70</f>
        <v>952507673.86001289</v>
      </c>
      <c r="L71" s="63">
        <f t="shared" ref="L71:O71" si="25">L67+L68-L69-L70</f>
        <v>1276556182.6619496</v>
      </c>
      <c r="M71" s="63">
        <f t="shared" si="25"/>
        <v>1649853275.9173527</v>
      </c>
      <c r="N71" s="63">
        <f t="shared" si="25"/>
        <v>2078546817.4835806</v>
      </c>
      <c r="O71" s="64">
        <f t="shared" si="25"/>
        <v>2569485543.0086908</v>
      </c>
    </row>
    <row r="74" spans="2:15" x14ac:dyDescent="0.35">
      <c r="B74" s="6" t="s">
        <v>451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2:15" ht="3" customHeight="1" x14ac:dyDescent="0.35"/>
    <row r="76" spans="2:15" x14ac:dyDescent="0.35">
      <c r="B76" s="10"/>
      <c r="C76" s="10"/>
      <c r="D76" s="10"/>
      <c r="E76" s="10"/>
      <c r="F76" s="10"/>
      <c r="G76" s="10"/>
      <c r="H76" s="10"/>
      <c r="I76" s="10"/>
      <c r="J76" s="11" t="s">
        <v>432</v>
      </c>
      <c r="K76" s="11" t="s">
        <v>433</v>
      </c>
      <c r="L76" s="11" t="s">
        <v>434</v>
      </c>
      <c r="M76" s="11" t="s">
        <v>435</v>
      </c>
      <c r="N76" s="11" t="s">
        <v>436</v>
      </c>
      <c r="O76" s="11" t="s">
        <v>437</v>
      </c>
    </row>
    <row r="77" spans="2:15" x14ac:dyDescent="0.35">
      <c r="B77" s="18" t="s">
        <v>416</v>
      </c>
      <c r="J77" s="46"/>
    </row>
    <row r="78" spans="2:15" x14ac:dyDescent="0.35">
      <c r="B78" t="s">
        <v>452</v>
      </c>
      <c r="D78" s="48"/>
      <c r="E78" s="48"/>
      <c r="F78" s="48"/>
      <c r="G78" s="48"/>
      <c r="H78" s="48"/>
      <c r="J78" s="46"/>
      <c r="K78" s="30">
        <f>J81</f>
        <v>10811436000</v>
      </c>
      <c r="L78" s="30">
        <f t="shared" ref="L78:O78" si="26">K81</f>
        <v>9858928326.1399879</v>
      </c>
      <c r="M78" s="30">
        <f t="shared" si="26"/>
        <v>8582372143.4780388</v>
      </c>
      <c r="N78" s="30">
        <f t="shared" si="26"/>
        <v>6932518867.5606861</v>
      </c>
      <c r="O78" s="30">
        <f t="shared" si="26"/>
        <v>4853972050.0771055</v>
      </c>
    </row>
    <row r="79" spans="2:15" x14ac:dyDescent="0.35">
      <c r="B79" t="s">
        <v>453</v>
      </c>
      <c r="D79" s="48"/>
      <c r="E79" s="48"/>
      <c r="F79" s="48"/>
      <c r="G79" s="48"/>
      <c r="H79" s="48"/>
      <c r="J79" s="46"/>
      <c r="K79" s="52">
        <f>K78*$O$7</f>
        <v>648686160</v>
      </c>
      <c r="L79" s="52">
        <f t="shared" ref="L79:O79" si="27">L78*$O$7</f>
        <v>591535699.56839931</v>
      </c>
      <c r="M79" s="52">
        <f t="shared" si="27"/>
        <v>514942328.60868233</v>
      </c>
      <c r="N79" s="52">
        <f t="shared" si="27"/>
        <v>415951132.05364114</v>
      </c>
      <c r="O79" s="52">
        <f t="shared" si="27"/>
        <v>291238323.00462633</v>
      </c>
    </row>
    <row r="80" spans="2:15" x14ac:dyDescent="0.35">
      <c r="B80" s="4" t="s">
        <v>454</v>
      </c>
      <c r="C80" s="4"/>
      <c r="D80" s="65"/>
      <c r="E80" s="65"/>
      <c r="F80" s="65"/>
      <c r="G80" s="65"/>
      <c r="H80" s="65"/>
      <c r="I80" s="4"/>
      <c r="J80" s="60"/>
      <c r="K80" s="65">
        <f>MIN(K71,K78)</f>
        <v>952507673.86001289</v>
      </c>
      <c r="L80" s="65">
        <f t="shared" ref="L80:O80" si="28">MIN(L71,L78)</f>
        <v>1276556182.6619496</v>
      </c>
      <c r="M80" s="65">
        <f t="shared" si="28"/>
        <v>1649853275.9173527</v>
      </c>
      <c r="N80" s="65">
        <f t="shared" si="28"/>
        <v>2078546817.4835806</v>
      </c>
      <c r="O80" s="65">
        <f t="shared" si="28"/>
        <v>2569485543.0086908</v>
      </c>
    </row>
    <row r="81" spans="2:16" x14ac:dyDescent="0.35">
      <c r="B81" s="18" t="s">
        <v>455</v>
      </c>
      <c r="C81" s="18"/>
      <c r="D81" s="66"/>
      <c r="E81" s="66"/>
      <c r="F81" s="66"/>
      <c r="G81" s="66"/>
      <c r="H81" s="66"/>
      <c r="I81" s="18"/>
      <c r="J81" s="67">
        <f>E23</f>
        <v>10811436000</v>
      </c>
      <c r="K81" s="66">
        <f>K78-K80</f>
        <v>9858928326.1399879</v>
      </c>
      <c r="L81" s="66">
        <f t="shared" ref="L81:O81" si="29">L78-L80</f>
        <v>8582372143.4780388</v>
      </c>
      <c r="M81" s="66">
        <f t="shared" si="29"/>
        <v>6932518867.5606861</v>
      </c>
      <c r="N81" s="66">
        <f t="shared" si="29"/>
        <v>4853972050.0771055</v>
      </c>
      <c r="O81" s="66">
        <f t="shared" si="29"/>
        <v>2284486507.0684147</v>
      </c>
    </row>
    <row r="82" spans="2:16" x14ac:dyDescent="0.35">
      <c r="J82" s="46"/>
    </row>
    <row r="83" spans="2:16" x14ac:dyDescent="0.35">
      <c r="B83" s="18" t="s">
        <v>456</v>
      </c>
      <c r="J83" s="46"/>
    </row>
    <row r="84" spans="2:16" x14ac:dyDescent="0.35">
      <c r="B84" t="s">
        <v>452</v>
      </c>
      <c r="D84" s="48"/>
      <c r="E84" s="48"/>
      <c r="F84" s="48"/>
      <c r="G84" s="48"/>
      <c r="H84" s="48"/>
      <c r="J84" s="46"/>
      <c r="K84" s="30">
        <f>J87</f>
        <v>5405718000</v>
      </c>
      <c r="L84" s="30">
        <f t="shared" ref="L84:O84" si="30">K87</f>
        <v>5405718000</v>
      </c>
      <c r="M84" s="30">
        <f t="shared" si="30"/>
        <v>5405718000</v>
      </c>
      <c r="N84" s="30">
        <f t="shared" si="30"/>
        <v>5405718000</v>
      </c>
      <c r="O84" s="30">
        <f t="shared" si="30"/>
        <v>5405718000</v>
      </c>
    </row>
    <row r="85" spans="2:16" x14ac:dyDescent="0.35">
      <c r="B85" t="s">
        <v>453</v>
      </c>
      <c r="D85" s="48"/>
      <c r="E85" s="48"/>
      <c r="F85" s="48"/>
      <c r="G85" s="48"/>
      <c r="H85" s="48"/>
      <c r="J85" s="46"/>
      <c r="K85" s="52">
        <f>K84*$O$8</f>
        <v>648686160</v>
      </c>
      <c r="L85" s="52">
        <f t="shared" ref="L85:O85" si="31">L84*$O$8</f>
        <v>648686160</v>
      </c>
      <c r="M85" s="52">
        <f t="shared" si="31"/>
        <v>648686160</v>
      </c>
      <c r="N85" s="52">
        <f t="shared" si="31"/>
        <v>648686160</v>
      </c>
      <c r="O85" s="52">
        <f t="shared" si="31"/>
        <v>648686160</v>
      </c>
    </row>
    <row r="86" spans="2:16" x14ac:dyDescent="0.35">
      <c r="B86" t="s">
        <v>454</v>
      </c>
      <c r="D86" s="27"/>
      <c r="E86" s="27"/>
      <c r="F86" s="27"/>
      <c r="G86" s="27"/>
      <c r="H86" s="27"/>
      <c r="J86" s="60"/>
      <c r="K86" s="68">
        <f>MIN(K71,K71-K80)</f>
        <v>0</v>
      </c>
      <c r="L86" s="68">
        <f t="shared" ref="L86:O86" si="32">MIN(L71,L71-L80)</f>
        <v>0</v>
      </c>
      <c r="M86" s="68">
        <f t="shared" si="32"/>
        <v>0</v>
      </c>
      <c r="N86" s="68">
        <f t="shared" si="32"/>
        <v>0</v>
      </c>
      <c r="O86" s="68">
        <f t="shared" si="32"/>
        <v>0</v>
      </c>
      <c r="P86" s="48"/>
    </row>
    <row r="87" spans="2:16" x14ac:dyDescent="0.35">
      <c r="B87" t="s">
        <v>455</v>
      </c>
      <c r="D87" s="48"/>
      <c r="E87" s="48"/>
      <c r="F87" s="48"/>
      <c r="G87" s="48"/>
      <c r="H87" s="48"/>
      <c r="J87" s="67">
        <f>E24</f>
        <v>5405718000</v>
      </c>
      <c r="K87" s="66">
        <f>K84-K86</f>
        <v>5405718000</v>
      </c>
      <c r="L87" s="66">
        <f t="shared" ref="L87:O87" si="33">L84-L86</f>
        <v>5405718000</v>
      </c>
      <c r="M87" s="66">
        <f t="shared" si="33"/>
        <v>5405718000</v>
      </c>
      <c r="N87" s="66">
        <f t="shared" si="33"/>
        <v>5405718000</v>
      </c>
      <c r="O87" s="66">
        <f t="shared" si="33"/>
        <v>5405718000</v>
      </c>
    </row>
    <row r="88" spans="2:16" x14ac:dyDescent="0.35">
      <c r="J88" s="46"/>
    </row>
    <row r="89" spans="2:16" x14ac:dyDescent="0.35">
      <c r="B89" s="18" t="s">
        <v>428</v>
      </c>
      <c r="J89" s="46"/>
    </row>
    <row r="90" spans="2:16" x14ac:dyDescent="0.35">
      <c r="B90" t="s">
        <v>452</v>
      </c>
      <c r="D90" s="48"/>
      <c r="E90" s="48"/>
      <c r="F90" s="48"/>
      <c r="G90" s="48"/>
      <c r="H90" s="48"/>
      <c r="J90" s="69"/>
      <c r="K90" s="52">
        <f>K78+K84</f>
        <v>16217154000</v>
      </c>
      <c r="L90" s="52">
        <f t="shared" ref="L90:O90" si="34">L78+L84</f>
        <v>15264646326.139988</v>
      </c>
      <c r="M90" s="52">
        <f t="shared" si="34"/>
        <v>13988090143.478039</v>
      </c>
      <c r="N90" s="52">
        <f t="shared" si="34"/>
        <v>12338236867.560686</v>
      </c>
      <c r="O90" s="52">
        <f t="shared" si="34"/>
        <v>10259690050.077106</v>
      </c>
    </row>
    <row r="91" spans="2:16" x14ac:dyDescent="0.35">
      <c r="B91" t="s">
        <v>453</v>
      </c>
      <c r="D91" s="48"/>
      <c r="E91" s="48"/>
      <c r="F91" s="48"/>
      <c r="G91" s="48"/>
      <c r="H91" s="48"/>
      <c r="J91" s="69"/>
      <c r="K91" s="52">
        <f t="shared" ref="K91:O93" si="35">K79+K85</f>
        <v>1297372320</v>
      </c>
      <c r="L91" s="52">
        <f t="shared" si="35"/>
        <v>1240221859.5683994</v>
      </c>
      <c r="M91" s="52">
        <f t="shared" si="35"/>
        <v>1163628488.6086824</v>
      </c>
      <c r="N91" s="52">
        <f t="shared" si="35"/>
        <v>1064637292.0536411</v>
      </c>
      <c r="O91" s="52">
        <f t="shared" si="35"/>
        <v>939924483.00462627</v>
      </c>
    </row>
    <row r="92" spans="2:16" x14ac:dyDescent="0.35">
      <c r="B92" t="s">
        <v>454</v>
      </c>
      <c r="D92" s="48"/>
      <c r="E92" s="48"/>
      <c r="F92" s="48"/>
      <c r="G92" s="48"/>
      <c r="H92" s="48"/>
      <c r="J92" s="70"/>
      <c r="K92" s="71">
        <f t="shared" si="35"/>
        <v>952507673.86001289</v>
      </c>
      <c r="L92" s="71">
        <f t="shared" si="35"/>
        <v>1276556182.6619496</v>
      </c>
      <c r="M92" s="71">
        <f t="shared" si="35"/>
        <v>1649853275.9173527</v>
      </c>
      <c r="N92" s="71">
        <f t="shared" si="35"/>
        <v>2078546817.4835806</v>
      </c>
      <c r="O92" s="71">
        <f t="shared" si="35"/>
        <v>2569485543.0086908</v>
      </c>
    </row>
    <row r="93" spans="2:16" x14ac:dyDescent="0.35">
      <c r="B93" t="s">
        <v>455</v>
      </c>
      <c r="D93" s="48"/>
      <c r="E93" s="48"/>
      <c r="F93" s="48"/>
      <c r="G93" s="48"/>
      <c r="H93" s="48"/>
      <c r="J93" s="72">
        <f>J81+J87</f>
        <v>16217154000</v>
      </c>
      <c r="K93" s="19">
        <f t="shared" si="35"/>
        <v>15264646326.139988</v>
      </c>
      <c r="L93" s="19">
        <f t="shared" si="35"/>
        <v>13988090143.478039</v>
      </c>
      <c r="M93" s="19">
        <f t="shared" si="35"/>
        <v>12338236867.560686</v>
      </c>
      <c r="N93" s="19">
        <f t="shared" si="35"/>
        <v>10259690050.077106</v>
      </c>
      <c r="O93" s="19">
        <f t="shared" si="35"/>
        <v>7690204507.0684147</v>
      </c>
    </row>
    <row r="95" spans="2:16" x14ac:dyDescent="0.35">
      <c r="B95" s="6" t="s">
        <v>421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2:16" ht="3" customHeight="1" x14ac:dyDescent="0.35">
      <c r="D96" s="48"/>
      <c r="E96" s="48"/>
      <c r="F96" s="48"/>
      <c r="G96" s="48"/>
      <c r="H96" s="48"/>
      <c r="O96" s="30"/>
    </row>
    <row r="97" spans="2:15" x14ac:dyDescent="0.35">
      <c r="B97" t="s">
        <v>457</v>
      </c>
      <c r="O97" s="48">
        <f>O38</f>
        <v>5082084815.4619598</v>
      </c>
    </row>
    <row r="98" spans="2:15" x14ac:dyDescent="0.35">
      <c r="B98" s="4" t="s">
        <v>458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73">
        <f>E16</f>
        <v>9.7571173376043667</v>
      </c>
    </row>
    <row r="99" spans="2:15" x14ac:dyDescent="0.35">
      <c r="B99" t="s">
        <v>418</v>
      </c>
      <c r="O99" s="48">
        <f>O97*O98</f>
        <v>49586497864.119774</v>
      </c>
    </row>
    <row r="100" spans="2:15" x14ac:dyDescent="0.35">
      <c r="B100" s="4" t="s">
        <v>459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74">
        <f>O93</f>
        <v>7690204507.0684147</v>
      </c>
    </row>
    <row r="101" spans="2:15" x14ac:dyDescent="0.35">
      <c r="B101" s="39" t="s">
        <v>460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64">
        <f>O99-O100</f>
        <v>41896293357.051361</v>
      </c>
    </row>
    <row r="103" spans="2:15" x14ac:dyDescent="0.35">
      <c r="B103" t="s">
        <v>461</v>
      </c>
      <c r="O103" s="48">
        <f>E27</f>
        <v>11403952010</v>
      </c>
    </row>
    <row r="104" spans="2:15" x14ac:dyDescent="0.35">
      <c r="O104" s="48"/>
    </row>
    <row r="105" spans="2:15" x14ac:dyDescent="0.35">
      <c r="B105" s="75" t="s">
        <v>462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7">
        <f>O101/O103</f>
        <v>3.6738398513351305</v>
      </c>
    </row>
    <row r="106" spans="2:15" x14ac:dyDescent="0.35">
      <c r="B106" s="78" t="s">
        <v>493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80">
        <f>O105^(1/5)-1</f>
        <v>0.29725108963472047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2A85-033C-408B-9585-60FD1E6DD51A}">
  <dimension ref="A1:AK169"/>
  <sheetViews>
    <sheetView topLeftCell="F1" zoomScale="46" workbookViewId="0">
      <selection activeCell="C15" sqref="C15"/>
    </sheetView>
  </sheetViews>
  <sheetFormatPr defaultRowHeight="14.5" x14ac:dyDescent="0.35"/>
  <cols>
    <col min="1" max="1" width="20.26953125" bestFit="1" customWidth="1"/>
    <col min="2" max="2" width="14.08984375" bestFit="1" customWidth="1"/>
    <col min="3" max="3" width="53.81640625" bestFit="1" customWidth="1"/>
    <col min="4" max="4" width="24.1796875" bestFit="1" customWidth="1"/>
    <col min="5" max="5" width="15.90625" bestFit="1" customWidth="1"/>
    <col min="6" max="6" width="19.453125" bestFit="1" customWidth="1"/>
    <col min="7" max="7" width="22.453125" bestFit="1" customWidth="1"/>
    <col min="8" max="8" width="16.08984375" bestFit="1" customWidth="1"/>
    <col min="9" max="9" width="25" bestFit="1" customWidth="1"/>
    <col min="10" max="10" width="24.1796875" bestFit="1" customWidth="1"/>
    <col min="11" max="11" width="11.36328125" bestFit="1" customWidth="1"/>
    <col min="12" max="12" width="29.90625" bestFit="1" customWidth="1"/>
    <col min="13" max="13" width="15.7265625" bestFit="1" customWidth="1"/>
    <col min="14" max="14" width="36.08984375" bestFit="1" customWidth="1"/>
    <col min="15" max="15" width="17.453125" bestFit="1" customWidth="1"/>
    <col min="16" max="16" width="19.6328125" bestFit="1" customWidth="1"/>
    <col min="17" max="17" width="16.26953125" bestFit="1" customWidth="1"/>
    <col min="18" max="18" width="14.7265625" bestFit="1" customWidth="1"/>
    <col min="19" max="19" width="14.36328125" bestFit="1" customWidth="1"/>
    <col min="20" max="20" width="19.6328125" bestFit="1" customWidth="1"/>
    <col min="21" max="21" width="21" bestFit="1" customWidth="1"/>
    <col min="22" max="22" width="18.6328125" bestFit="1" customWidth="1"/>
    <col min="23" max="23" width="14.36328125" bestFit="1" customWidth="1"/>
    <col min="24" max="24" width="16.90625" bestFit="1" customWidth="1"/>
    <col min="25" max="25" width="14.36328125" bestFit="1" customWidth="1"/>
    <col min="26" max="26" width="11.90625" bestFit="1" customWidth="1"/>
    <col min="27" max="27" width="20.26953125" bestFit="1" customWidth="1"/>
    <col min="28" max="28" width="29.54296875" bestFit="1" customWidth="1"/>
    <col min="29" max="29" width="19.26953125" bestFit="1" customWidth="1"/>
    <col min="30" max="30" width="30.36328125" bestFit="1" customWidth="1"/>
    <col min="31" max="31" width="28.36328125" bestFit="1" customWidth="1"/>
    <col min="32" max="32" width="36.08984375" bestFit="1" customWidth="1"/>
    <col min="33" max="33" width="29.7265625" bestFit="1" customWidth="1"/>
    <col min="34" max="34" width="28.54296875" bestFit="1" customWidth="1"/>
    <col min="35" max="35" width="25.1796875" bestFit="1" customWidth="1"/>
    <col min="36" max="36" width="18.26953125" bestFit="1" customWidth="1"/>
    <col min="37" max="37" width="20.08984375" bestFit="1" customWidth="1"/>
    <col min="38" max="38" width="11.26953125" bestFit="1" customWidth="1"/>
    <col min="39" max="39" width="10.54296875" bestFit="1" customWidth="1"/>
  </cols>
  <sheetData>
    <row r="1" spans="1:37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480</v>
      </c>
      <c r="M1" t="s">
        <v>505</v>
      </c>
      <c r="N1" t="s">
        <v>481</v>
      </c>
      <c r="O1" t="s">
        <v>20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21</v>
      </c>
      <c r="Y1" t="s">
        <v>9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506</v>
      </c>
      <c r="AH1" t="s">
        <v>507</v>
      </c>
      <c r="AI1" t="s">
        <v>508</v>
      </c>
      <c r="AJ1" t="s">
        <v>509</v>
      </c>
      <c r="AK1" t="s">
        <v>510</v>
      </c>
    </row>
    <row r="2" spans="1:37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>
        <v>3119160064</v>
      </c>
      <c r="G2">
        <v>0.16850000000000001</v>
      </c>
      <c r="H2">
        <v>0.1409</v>
      </c>
      <c r="I2">
        <v>0.19</v>
      </c>
      <c r="J2">
        <v>2.5700000000000001E-2</v>
      </c>
      <c r="K2">
        <v>24.45</v>
      </c>
      <c r="L2">
        <v>8.6699999999999999E-2</v>
      </c>
      <c r="N2">
        <v>467553000</v>
      </c>
      <c r="O2">
        <v>15.49</v>
      </c>
      <c r="P2">
        <v>2024</v>
      </c>
      <c r="Q2">
        <v>5391884000</v>
      </c>
      <c r="R2">
        <v>908550000</v>
      </c>
      <c r="S2">
        <v>440997000</v>
      </c>
      <c r="T2">
        <v>288993000</v>
      </c>
      <c r="U2">
        <v>7128360000</v>
      </c>
      <c r="V2">
        <v>696129000</v>
      </c>
      <c r="W2">
        <v>524856000</v>
      </c>
      <c r="X2">
        <v>171273000</v>
      </c>
      <c r="Y2">
        <v>138426000</v>
      </c>
      <c r="Z2" s="1">
        <v>46083</v>
      </c>
      <c r="AA2">
        <v>31.2</v>
      </c>
      <c r="AB2">
        <v>48000000</v>
      </c>
      <c r="AC2">
        <v>18.6098</v>
      </c>
      <c r="AD2">
        <v>6.4763000000000002</v>
      </c>
      <c r="AE2">
        <v>16.704599999999999</v>
      </c>
      <c r="AF2">
        <v>0.28549999999999998</v>
      </c>
      <c r="AG2">
        <v>18.609843319089602</v>
      </c>
      <c r="AH2">
        <v>6.4763355677432459</v>
      </c>
      <c r="AI2">
        <v>16.704625477605006</v>
      </c>
      <c r="AJ2">
        <v>14.398225641240316</v>
      </c>
      <c r="AK2">
        <v>3.4331187760717627</v>
      </c>
    </row>
    <row r="3" spans="1:37" x14ac:dyDescent="0.35">
      <c r="A3">
        <v>52</v>
      </c>
      <c r="B3" t="s">
        <v>151</v>
      </c>
      <c r="C3" t="s">
        <v>152</v>
      </c>
      <c r="D3" t="s">
        <v>31</v>
      </c>
      <c r="E3" t="s">
        <v>109</v>
      </c>
      <c r="F3">
        <v>3595531264</v>
      </c>
      <c r="G3">
        <v>0.1623</v>
      </c>
      <c r="H3">
        <v>4.7199999999999999E-2</v>
      </c>
      <c r="I3">
        <v>1.17</v>
      </c>
      <c r="J3">
        <v>8.3500000000000005E-2</v>
      </c>
      <c r="K3">
        <v>16.489999999999998</v>
      </c>
      <c r="L3">
        <v>-1.4E-2</v>
      </c>
      <c r="N3">
        <v>225800000</v>
      </c>
      <c r="O3">
        <v>9.16</v>
      </c>
      <c r="P3">
        <v>2024</v>
      </c>
      <c r="Q3">
        <v>3148600000</v>
      </c>
      <c r="R3">
        <v>511100000</v>
      </c>
      <c r="S3">
        <v>292600000</v>
      </c>
      <c r="T3">
        <v>179100000</v>
      </c>
      <c r="U3">
        <v>4230000000</v>
      </c>
      <c r="V3">
        <v>686600000</v>
      </c>
      <c r="W3">
        <v>89800000</v>
      </c>
      <c r="X3">
        <v>596800000</v>
      </c>
      <c r="Y3">
        <v>262900000</v>
      </c>
      <c r="Z3" s="1">
        <v>46083</v>
      </c>
      <c r="AA3">
        <v>34.68</v>
      </c>
      <c r="AB3">
        <v>108035683</v>
      </c>
      <c r="AC3">
        <v>14.0664</v>
      </c>
      <c r="AD3">
        <v>6.2747999999999999</v>
      </c>
      <c r="AE3">
        <v>10.270300000000001</v>
      </c>
      <c r="AF3">
        <v>-0.44119999999999998</v>
      </c>
      <c r="AG3">
        <v>14.066399975755363</v>
      </c>
      <c r="AH3">
        <v>6.2748324192565503</v>
      </c>
      <c r="AI3">
        <v>10.270256196450012</v>
      </c>
      <c r="AJ3">
        <v>10.590086575014114</v>
      </c>
      <c r="AK3">
        <v>7.0348880140872625</v>
      </c>
    </row>
    <row r="4" spans="1:37" x14ac:dyDescent="0.35">
      <c r="A4">
        <v>2</v>
      </c>
      <c r="B4" t="s">
        <v>33</v>
      </c>
      <c r="C4" t="s">
        <v>34</v>
      </c>
      <c r="D4" t="s">
        <v>35</v>
      </c>
      <c r="E4" t="s">
        <v>36</v>
      </c>
      <c r="F4">
        <v>2669550080</v>
      </c>
      <c r="G4">
        <v>0.24970000000000001</v>
      </c>
      <c r="H4">
        <v>6.0199999999999997E-2</v>
      </c>
      <c r="I4">
        <v>0.52</v>
      </c>
      <c r="J4">
        <v>6.2300000000000001E-2</v>
      </c>
      <c r="K4">
        <v>28.99</v>
      </c>
      <c r="L4">
        <v>1.4200000000000001E-2</v>
      </c>
      <c r="N4">
        <v>85196000</v>
      </c>
      <c r="O4">
        <v>10.11</v>
      </c>
      <c r="P4">
        <v>2024</v>
      </c>
      <c r="Q4">
        <v>1203994000</v>
      </c>
      <c r="R4">
        <v>300602000</v>
      </c>
      <c r="S4">
        <v>216808000</v>
      </c>
      <c r="T4">
        <v>157019000</v>
      </c>
      <c r="U4">
        <v>1402848000</v>
      </c>
      <c r="V4">
        <v>212951000</v>
      </c>
      <c r="W4">
        <v>55143000</v>
      </c>
      <c r="X4">
        <v>157808000</v>
      </c>
      <c r="Y4">
        <v>75027000</v>
      </c>
      <c r="Z4" s="1">
        <v>46083</v>
      </c>
      <c r="AA4">
        <v>58</v>
      </c>
      <c r="AB4">
        <v>45746258</v>
      </c>
      <c r="AC4">
        <v>14.6968</v>
      </c>
      <c r="AD4">
        <v>9.1153999999999993</v>
      </c>
      <c r="AE4">
        <v>13.6114</v>
      </c>
      <c r="AF4">
        <v>7.1900000000000006E-2</v>
      </c>
      <c r="AG4">
        <v>14.696760311543464</v>
      </c>
      <c r="AH4">
        <v>9.1153768027625421</v>
      </c>
      <c r="AI4">
        <v>13.611411297801641</v>
      </c>
      <c r="AJ4">
        <v>12.69674055478664</v>
      </c>
      <c r="AK4">
        <v>8.8806797027298554</v>
      </c>
    </row>
    <row r="5" spans="1:37" x14ac:dyDescent="0.35">
      <c r="A5">
        <v>4</v>
      </c>
      <c r="B5" t="s">
        <v>40</v>
      </c>
      <c r="C5" t="s">
        <v>41</v>
      </c>
      <c r="D5" t="s">
        <v>42</v>
      </c>
      <c r="E5" t="s">
        <v>43</v>
      </c>
      <c r="F5">
        <v>541744832</v>
      </c>
      <c r="G5">
        <v>0.35289999999999999</v>
      </c>
      <c r="H5">
        <v>0.23419999999999999</v>
      </c>
      <c r="I5">
        <v>1.75</v>
      </c>
      <c r="J5">
        <v>2.2100000000000002E-2</v>
      </c>
      <c r="K5">
        <v>6.31</v>
      </c>
      <c r="L5">
        <v>-1.7600000000000001E-2</v>
      </c>
      <c r="N5">
        <v>710700000</v>
      </c>
      <c r="O5">
        <v>-11.95</v>
      </c>
      <c r="P5">
        <v>2024</v>
      </c>
      <c r="Q5">
        <v>2300900000</v>
      </c>
      <c r="R5">
        <v>1105500000</v>
      </c>
      <c r="S5">
        <v>329400000</v>
      </c>
      <c r="T5">
        <v>157800000</v>
      </c>
      <c r="U5">
        <v>5121600000</v>
      </c>
      <c r="V5">
        <v>2509400000</v>
      </c>
      <c r="W5">
        <v>1205200000</v>
      </c>
      <c r="X5">
        <v>1304200000</v>
      </c>
      <c r="Y5">
        <v>116200000</v>
      </c>
      <c r="Z5" s="1">
        <v>46083</v>
      </c>
      <c r="AA5">
        <v>4.125</v>
      </c>
      <c r="AB5">
        <v>134728884</v>
      </c>
      <c r="AC5">
        <v>23.133900000000001</v>
      </c>
      <c r="AD5">
        <v>12.4694</v>
      </c>
      <c r="AE5">
        <v>8.6224000000000007</v>
      </c>
      <c r="AF5">
        <v>-0.29859999999999998</v>
      </c>
      <c r="AG5">
        <v>23.133890959784207</v>
      </c>
      <c r="AH5">
        <v>12.469429209831404</v>
      </c>
      <c r="AI5">
        <v>8.6223891545749911</v>
      </c>
      <c r="AJ5">
        <v>15.581101893235601</v>
      </c>
      <c r="AK5">
        <v>0.49004507643600181</v>
      </c>
    </row>
    <row r="6" spans="1:37" x14ac:dyDescent="0.35">
      <c r="A6">
        <v>3</v>
      </c>
      <c r="B6" t="s">
        <v>37</v>
      </c>
      <c r="C6" t="s">
        <v>38</v>
      </c>
      <c r="D6" t="s">
        <v>35</v>
      </c>
      <c r="E6" t="s">
        <v>39</v>
      </c>
      <c r="F6">
        <v>1671173760</v>
      </c>
      <c r="G6">
        <v>0.17760000000000001</v>
      </c>
      <c r="H6">
        <v>4.19E-2</v>
      </c>
      <c r="I6">
        <v>0.81</v>
      </c>
      <c r="J6">
        <v>0.1196</v>
      </c>
      <c r="K6">
        <v>25.74</v>
      </c>
      <c r="L6">
        <v>0.1799</v>
      </c>
      <c r="N6">
        <v>140000000</v>
      </c>
      <c r="O6">
        <v>7.4</v>
      </c>
      <c r="P6">
        <v>2024</v>
      </c>
      <c r="Q6">
        <v>2014400000</v>
      </c>
      <c r="R6">
        <v>357800000</v>
      </c>
      <c r="S6">
        <v>217800000</v>
      </c>
      <c r="T6">
        <v>153400000</v>
      </c>
      <c r="U6">
        <v>1319700000</v>
      </c>
      <c r="V6">
        <v>415100000</v>
      </c>
      <c r="W6">
        <v>125300000</v>
      </c>
      <c r="X6">
        <v>289800000</v>
      </c>
      <c r="Y6">
        <v>240900000</v>
      </c>
      <c r="Z6" s="1">
        <v>46083</v>
      </c>
      <c r="AA6">
        <v>1559</v>
      </c>
      <c r="AB6">
        <v>101838742</v>
      </c>
      <c r="AC6">
        <v>13.8094</v>
      </c>
      <c r="AD6">
        <v>6.7721</v>
      </c>
      <c r="AE6">
        <v>11.824299999999999</v>
      </c>
      <c r="AF6">
        <v>-0.2142</v>
      </c>
      <c r="AG6">
        <v>13.809406915780212</v>
      </c>
      <c r="AH6">
        <v>6.7720901889092016</v>
      </c>
      <c r="AI6">
        <v>11.824255407210414</v>
      </c>
      <c r="AJ6">
        <v>11.102666445147971</v>
      </c>
      <c r="AK6">
        <v>4.6706924538848522</v>
      </c>
    </row>
    <row r="7" spans="1:37" x14ac:dyDescent="0.35">
      <c r="A7">
        <v>136</v>
      </c>
      <c r="B7" t="s">
        <v>324</v>
      </c>
      <c r="C7" t="s">
        <v>325</v>
      </c>
      <c r="D7" t="s">
        <v>31</v>
      </c>
      <c r="E7" t="s">
        <v>69</v>
      </c>
      <c r="F7">
        <v>8962184192</v>
      </c>
      <c r="G7">
        <v>0.20649999999999999</v>
      </c>
      <c r="H7">
        <v>0.1227</v>
      </c>
      <c r="I7">
        <v>5.34</v>
      </c>
      <c r="J7">
        <v>5.1299999999999998E-2</v>
      </c>
      <c r="L7">
        <v>0.1101</v>
      </c>
      <c r="N7">
        <v>536485000</v>
      </c>
      <c r="O7">
        <v>8.3000000000000007</v>
      </c>
      <c r="P7">
        <v>2024</v>
      </c>
      <c r="Q7">
        <v>6043334000</v>
      </c>
      <c r="R7">
        <v>1248085000</v>
      </c>
      <c r="S7">
        <v>807748000</v>
      </c>
      <c r="T7">
        <v>459871000</v>
      </c>
      <c r="U7">
        <v>20291367000</v>
      </c>
      <c r="V7">
        <v>9953790000</v>
      </c>
      <c r="W7">
        <v>3292681000</v>
      </c>
      <c r="X7">
        <v>6661109000</v>
      </c>
      <c r="Y7">
        <v>310160000</v>
      </c>
      <c r="Z7" s="1">
        <v>46085</v>
      </c>
      <c r="AA7">
        <v>274.39999999999998</v>
      </c>
      <c r="AB7">
        <v>32728537</v>
      </c>
      <c r="AC7">
        <v>17.7273</v>
      </c>
      <c r="AD7">
        <v>7.7114000000000003</v>
      </c>
      <c r="AE7">
        <v>5.1313000000000004</v>
      </c>
      <c r="AF7">
        <v>-2.7844000000000002</v>
      </c>
      <c r="AG7">
        <v>17.727338848986264</v>
      </c>
      <c r="AH7">
        <v>7.7113548649197643</v>
      </c>
      <c r="AI7">
        <v>5.1313148000881625</v>
      </c>
      <c r="AJ7">
        <v>10.943736439096885</v>
      </c>
      <c r="AK7">
        <v>7.1807482599342194</v>
      </c>
    </row>
    <row r="8" spans="1:37" x14ac:dyDescent="0.35">
      <c r="A8">
        <v>5</v>
      </c>
      <c r="B8" t="s">
        <v>44</v>
      </c>
      <c r="C8" t="s">
        <v>45</v>
      </c>
      <c r="D8" t="s">
        <v>46</v>
      </c>
      <c r="E8" t="s">
        <v>32</v>
      </c>
      <c r="F8">
        <v>1440449152</v>
      </c>
      <c r="G8">
        <v>0.73429999999999995</v>
      </c>
      <c r="H8">
        <v>0.1114</v>
      </c>
      <c r="I8">
        <v>8.01</v>
      </c>
      <c r="J8">
        <v>1E-4</v>
      </c>
      <c r="K8">
        <v>4.0599999999999996</v>
      </c>
      <c r="L8">
        <v>9.4100000000000003E-2</v>
      </c>
      <c r="N8">
        <v>140000</v>
      </c>
      <c r="O8">
        <v>15.22</v>
      </c>
      <c r="P8">
        <v>2024</v>
      </c>
      <c r="Q8">
        <v>271403000</v>
      </c>
      <c r="R8">
        <v>199291000</v>
      </c>
      <c r="S8">
        <v>199151000</v>
      </c>
      <c r="T8">
        <v>123514000</v>
      </c>
      <c r="U8">
        <v>4364405000</v>
      </c>
      <c r="V8">
        <v>1809108000</v>
      </c>
      <c r="W8">
        <v>212438000</v>
      </c>
      <c r="X8">
        <v>1596670000</v>
      </c>
      <c r="Y8">
        <v>15000</v>
      </c>
      <c r="Z8" s="1">
        <v>46083</v>
      </c>
      <c r="AA8">
        <v>20.55</v>
      </c>
      <c r="AB8">
        <v>75023389</v>
      </c>
      <c r="AC8">
        <v>17.179400000000001</v>
      </c>
      <c r="AD8">
        <v>24.865100000000002</v>
      </c>
      <c r="AE8">
        <v>4.3388</v>
      </c>
      <c r="AF8">
        <v>-3.7688999999999999</v>
      </c>
      <c r="AG8">
        <v>17.179410249416605</v>
      </c>
      <c r="AH8">
        <v>24.865122892545191</v>
      </c>
      <c r="AI8">
        <v>4.3388430046575346</v>
      </c>
      <c r="AJ8">
        <v>15.63295386892746</v>
      </c>
      <c r="AK8">
        <v>7.2278685540240151</v>
      </c>
    </row>
    <row r="9" spans="1:37" x14ac:dyDescent="0.35">
      <c r="A9">
        <v>92</v>
      </c>
      <c r="B9" t="s">
        <v>237</v>
      </c>
      <c r="C9" t="s">
        <v>238</v>
      </c>
      <c r="D9" t="s">
        <v>31</v>
      </c>
      <c r="E9" t="s">
        <v>36</v>
      </c>
      <c r="F9">
        <v>27067064320</v>
      </c>
      <c r="G9">
        <v>7.0599999999999996E-2</v>
      </c>
      <c r="H9">
        <v>8.5599999999999996E-2</v>
      </c>
      <c r="I9">
        <v>0.52</v>
      </c>
      <c r="J9">
        <v>1.5900000000000001E-2</v>
      </c>
      <c r="L9">
        <v>0.14180000000000001</v>
      </c>
      <c r="N9">
        <v>969658000</v>
      </c>
      <c r="O9">
        <v>14.14</v>
      </c>
      <c r="P9">
        <v>2024</v>
      </c>
      <c r="Q9">
        <v>41633120000</v>
      </c>
      <c r="R9">
        <v>2702859000</v>
      </c>
      <c r="S9">
        <v>1836656000</v>
      </c>
      <c r="T9">
        <v>827580000</v>
      </c>
      <c r="U9">
        <v>42025282000</v>
      </c>
      <c r="V9">
        <v>14204703000</v>
      </c>
      <c r="W9">
        <v>11413659000</v>
      </c>
      <c r="X9">
        <v>2791044000</v>
      </c>
      <c r="Y9">
        <v>612491000</v>
      </c>
      <c r="Z9" s="1">
        <v>46085</v>
      </c>
      <c r="AA9">
        <v>103.7</v>
      </c>
      <c r="AB9">
        <v>260510722</v>
      </c>
      <c r="AC9">
        <v>15.9284</v>
      </c>
      <c r="AD9">
        <v>3.2945000000000002</v>
      </c>
      <c r="AE9">
        <v>13.6114</v>
      </c>
      <c r="AF9">
        <v>-0.1074</v>
      </c>
      <c r="AG9">
        <v>15.928387429160217</v>
      </c>
      <c r="AH9">
        <v>3.2945358521226895</v>
      </c>
      <c r="AI9">
        <v>13.611411297801641</v>
      </c>
      <c r="AJ9">
        <v>11.443139116641387</v>
      </c>
      <c r="AK9">
        <v>10.014234675208733</v>
      </c>
    </row>
    <row r="10" spans="1:37" x14ac:dyDescent="0.35">
      <c r="A10">
        <v>6</v>
      </c>
      <c r="B10" t="s">
        <v>47</v>
      </c>
      <c r="C10" t="s">
        <v>48</v>
      </c>
      <c r="D10" t="s">
        <v>49</v>
      </c>
      <c r="E10" t="s">
        <v>50</v>
      </c>
      <c r="F10">
        <v>2711829248</v>
      </c>
      <c r="G10">
        <v>0.23130000000000001</v>
      </c>
      <c r="H10">
        <v>0.1124</v>
      </c>
      <c r="I10">
        <v>2.57</v>
      </c>
      <c r="J10">
        <v>6.08E-2</v>
      </c>
      <c r="K10">
        <v>9.65</v>
      </c>
      <c r="L10">
        <v>7.3400000000000007E-2</v>
      </c>
      <c r="N10">
        <v>302718000</v>
      </c>
      <c r="O10">
        <v>13.38</v>
      </c>
      <c r="P10">
        <v>2024</v>
      </c>
      <c r="Q10">
        <v>2409241000</v>
      </c>
      <c r="R10">
        <v>557254000</v>
      </c>
      <c r="S10">
        <v>254536000</v>
      </c>
      <c r="T10">
        <v>145374000</v>
      </c>
      <c r="U10">
        <v>3992762000</v>
      </c>
      <c r="V10">
        <v>1721518000</v>
      </c>
      <c r="W10">
        <v>288834000</v>
      </c>
      <c r="X10">
        <v>1432684000</v>
      </c>
      <c r="Y10">
        <v>146421000</v>
      </c>
      <c r="Z10" s="1">
        <v>46083</v>
      </c>
      <c r="AA10">
        <v>12.845000000000001</v>
      </c>
      <c r="AB10">
        <v>219937482</v>
      </c>
      <c r="AC10">
        <v>17.227900000000002</v>
      </c>
      <c r="AD10">
        <v>8.5174000000000003</v>
      </c>
      <c r="AE10">
        <v>7.2062999999999997</v>
      </c>
      <c r="AF10">
        <v>-1.1071</v>
      </c>
      <c r="AG10">
        <v>17.227899506015689</v>
      </c>
      <c r="AH10">
        <v>8.5173674588665449</v>
      </c>
      <c r="AI10">
        <v>7.2062708244714404</v>
      </c>
      <c r="AJ10">
        <v>11.60825128740767</v>
      </c>
      <c r="AK10">
        <v>4.8664150423325809</v>
      </c>
    </row>
    <row r="11" spans="1:37" x14ac:dyDescent="0.35">
      <c r="A11">
        <v>11</v>
      </c>
      <c r="B11" t="s">
        <v>63</v>
      </c>
      <c r="C11" t="s">
        <v>64</v>
      </c>
      <c r="D11" t="s">
        <v>49</v>
      </c>
      <c r="E11" t="s">
        <v>50</v>
      </c>
      <c r="F11">
        <v>3673987072</v>
      </c>
      <c r="G11">
        <v>0.33660000000000001</v>
      </c>
      <c r="H11">
        <v>6.5100000000000005E-2</v>
      </c>
      <c r="I11">
        <v>1.68</v>
      </c>
      <c r="J11">
        <v>0.10100000000000001</v>
      </c>
      <c r="K11">
        <v>14.48</v>
      </c>
      <c r="L11">
        <v>-8.0999999999999996E-3</v>
      </c>
      <c r="N11">
        <v>129041000</v>
      </c>
      <c r="O11">
        <v>11.34</v>
      </c>
      <c r="P11">
        <v>2024</v>
      </c>
      <c r="Q11">
        <v>1185427000</v>
      </c>
      <c r="R11">
        <v>399044000</v>
      </c>
      <c r="S11">
        <v>270003000</v>
      </c>
      <c r="T11">
        <v>188105000</v>
      </c>
      <c r="U11">
        <v>3304920000</v>
      </c>
      <c r="V11">
        <v>1014189000</v>
      </c>
      <c r="W11">
        <v>344270000</v>
      </c>
      <c r="X11">
        <v>669919000</v>
      </c>
      <c r="Y11">
        <v>119716000</v>
      </c>
      <c r="Z11" s="1">
        <v>46083</v>
      </c>
      <c r="AA11">
        <v>70.44</v>
      </c>
      <c r="AB11">
        <v>52679895</v>
      </c>
      <c r="AC11">
        <v>14.9344</v>
      </c>
      <c r="AD11">
        <v>11.9397</v>
      </c>
      <c r="AE11">
        <v>8.7834000000000003</v>
      </c>
      <c r="AF11">
        <v>-0.51290000000000002</v>
      </c>
      <c r="AG11">
        <v>14.934357668878977</v>
      </c>
      <c r="AH11">
        <v>11.939670932358318</v>
      </c>
      <c r="AI11">
        <v>8.7834229963536945</v>
      </c>
      <c r="AJ11">
        <v>12.190671246165195</v>
      </c>
      <c r="AK11">
        <v>9.206972343901926</v>
      </c>
    </row>
    <row r="12" spans="1:37" x14ac:dyDescent="0.35">
      <c r="A12">
        <v>7</v>
      </c>
      <c r="B12" t="s">
        <v>51</v>
      </c>
      <c r="C12" t="s">
        <v>52</v>
      </c>
      <c r="D12" t="s">
        <v>53</v>
      </c>
      <c r="E12" t="s">
        <v>50</v>
      </c>
      <c r="F12">
        <v>3382187520</v>
      </c>
      <c r="G12">
        <v>0.20760000000000001</v>
      </c>
      <c r="H12">
        <v>7.4800000000000005E-2</v>
      </c>
      <c r="I12">
        <v>0.23</v>
      </c>
      <c r="J12">
        <v>0.1396</v>
      </c>
      <c r="K12">
        <v>8.57</v>
      </c>
      <c r="L12">
        <v>0.1133</v>
      </c>
      <c r="N12">
        <v>655475000</v>
      </c>
      <c r="O12">
        <v>6.62</v>
      </c>
      <c r="P12">
        <v>2024</v>
      </c>
      <c r="Q12">
        <v>5949243000</v>
      </c>
      <c r="R12">
        <v>1234819000</v>
      </c>
      <c r="S12">
        <v>579344000</v>
      </c>
      <c r="T12">
        <v>268471000</v>
      </c>
      <c r="U12">
        <v>12211318000</v>
      </c>
      <c r="V12">
        <v>614151000</v>
      </c>
      <c r="W12">
        <v>326568000</v>
      </c>
      <c r="X12">
        <v>287583000</v>
      </c>
      <c r="Y12">
        <v>830217000</v>
      </c>
      <c r="Z12" s="1">
        <v>46083</v>
      </c>
      <c r="AA12">
        <v>2.81</v>
      </c>
      <c r="AB12">
        <v>1283075732</v>
      </c>
      <c r="AC12">
        <v>15.4047</v>
      </c>
      <c r="AD12">
        <v>7.7470999999999997</v>
      </c>
      <c r="AE12">
        <v>16.241299999999999</v>
      </c>
      <c r="AF12">
        <v>0.21579999999999999</v>
      </c>
      <c r="AG12">
        <v>15.404703457890101</v>
      </c>
      <c r="AH12">
        <v>7.7471054235222416</v>
      </c>
      <c r="AI12">
        <v>16.241291104281416</v>
      </c>
      <c r="AJ12">
        <v>13.358400341497138</v>
      </c>
      <c r="AK12">
        <v>2.7390148029792218</v>
      </c>
    </row>
    <row r="13" spans="1:37" x14ac:dyDescent="0.35">
      <c r="A13">
        <v>35</v>
      </c>
      <c r="B13" t="s">
        <v>116</v>
      </c>
      <c r="C13" t="s">
        <v>117</v>
      </c>
      <c r="D13" t="s">
        <v>91</v>
      </c>
      <c r="E13" t="s">
        <v>32</v>
      </c>
      <c r="F13">
        <v>1166020736</v>
      </c>
      <c r="G13">
        <v>9.5699999999999993E-2</v>
      </c>
      <c r="H13">
        <v>5.0000000000000001E-4</v>
      </c>
      <c r="I13">
        <v>1.77</v>
      </c>
      <c r="J13">
        <v>0.14269999999999999</v>
      </c>
      <c r="K13">
        <v>8.2100000000000009</v>
      </c>
      <c r="L13">
        <v>-8.1299999999999997E-2</v>
      </c>
      <c r="N13">
        <v>83698000</v>
      </c>
      <c r="O13">
        <v>142.25</v>
      </c>
      <c r="P13">
        <v>2024</v>
      </c>
      <c r="Q13">
        <v>438085000</v>
      </c>
      <c r="R13">
        <v>41926000</v>
      </c>
      <c r="S13">
        <v>-41772000</v>
      </c>
      <c r="T13">
        <v>-62701000</v>
      </c>
      <c r="U13">
        <v>670003000</v>
      </c>
      <c r="V13">
        <v>97220000</v>
      </c>
      <c r="W13">
        <v>23049000</v>
      </c>
      <c r="X13">
        <v>74171000</v>
      </c>
      <c r="Y13">
        <v>62495000</v>
      </c>
      <c r="Z13" s="1">
        <v>46083</v>
      </c>
      <c r="AA13">
        <v>22.3</v>
      </c>
      <c r="AB13">
        <v>52054500</v>
      </c>
      <c r="AC13">
        <v>11.802</v>
      </c>
      <c r="AD13">
        <v>4.1102999999999996</v>
      </c>
      <c r="AE13">
        <v>8.5778999999999996</v>
      </c>
      <c r="AF13">
        <v>-0.94650000000000001</v>
      </c>
      <c r="AG13">
        <v>11.801951692578108</v>
      </c>
      <c r="AH13">
        <v>4.1102985984156</v>
      </c>
      <c r="AI13">
        <v>8.5778743844907286</v>
      </c>
      <c r="AJ13">
        <v>8.5272325719031414</v>
      </c>
      <c r="AK13">
        <v>27.811399513428423</v>
      </c>
    </row>
    <row r="14" spans="1:37" x14ac:dyDescent="0.35">
      <c r="A14">
        <v>8</v>
      </c>
      <c r="B14" t="s">
        <v>54</v>
      </c>
      <c r="C14" t="s">
        <v>55</v>
      </c>
      <c r="D14" t="s">
        <v>42</v>
      </c>
      <c r="E14" t="s">
        <v>50</v>
      </c>
      <c r="F14">
        <v>855298880</v>
      </c>
      <c r="G14">
        <v>-4.9799999999999997E-2</v>
      </c>
      <c r="H14">
        <v>-0.24</v>
      </c>
      <c r="I14">
        <v>-12.41</v>
      </c>
      <c r="J14">
        <v>0.40500000000000003</v>
      </c>
      <c r="K14">
        <v>-0.81</v>
      </c>
      <c r="L14">
        <v>-5.1400000000000001E-2</v>
      </c>
      <c r="N14">
        <v>152391000</v>
      </c>
      <c r="O14">
        <v>18.760000000000002</v>
      </c>
      <c r="P14">
        <v>2024</v>
      </c>
      <c r="Q14">
        <v>393112000</v>
      </c>
      <c r="R14">
        <v>-19570000</v>
      </c>
      <c r="S14">
        <v>-171961000</v>
      </c>
      <c r="T14">
        <v>-199229000</v>
      </c>
      <c r="U14">
        <v>678980000</v>
      </c>
      <c r="V14">
        <v>279263000</v>
      </c>
      <c r="W14">
        <v>36424000</v>
      </c>
      <c r="X14">
        <v>242839000</v>
      </c>
      <c r="Y14">
        <v>159206000</v>
      </c>
      <c r="Z14" s="1">
        <v>46083</v>
      </c>
      <c r="AA14">
        <v>2.2919999999999998</v>
      </c>
      <c r="AB14">
        <v>379121815</v>
      </c>
      <c r="AC14">
        <v>1</v>
      </c>
      <c r="AD14">
        <v>1</v>
      </c>
      <c r="AE14">
        <v>1</v>
      </c>
      <c r="AF14">
        <v>7.0502000000000002</v>
      </c>
      <c r="AG14">
        <v>1</v>
      </c>
      <c r="AH14">
        <v>1</v>
      </c>
      <c r="AI14">
        <v>1</v>
      </c>
      <c r="AJ14">
        <v>1</v>
      </c>
      <c r="AK14">
        <v>-43.70459274399591</v>
      </c>
    </row>
    <row r="15" spans="1:37" x14ac:dyDescent="0.35">
      <c r="A15">
        <v>9</v>
      </c>
      <c r="B15" t="s">
        <v>56</v>
      </c>
      <c r="C15" t="s">
        <v>57</v>
      </c>
      <c r="D15" t="s">
        <v>58</v>
      </c>
      <c r="E15" t="s">
        <v>59</v>
      </c>
      <c r="F15">
        <v>1865753088</v>
      </c>
      <c r="G15">
        <v>0.1515</v>
      </c>
      <c r="H15">
        <v>0.29049999999999998</v>
      </c>
      <c r="I15">
        <v>2.78</v>
      </c>
      <c r="J15">
        <v>2.3900000000000001E-2</v>
      </c>
      <c r="K15">
        <v>6.03</v>
      </c>
      <c r="L15">
        <v>6.0900000000000003E-2</v>
      </c>
      <c r="N15">
        <v>273000000</v>
      </c>
      <c r="O15">
        <v>7.15</v>
      </c>
      <c r="P15">
        <v>2024</v>
      </c>
      <c r="Q15">
        <v>5484000000</v>
      </c>
      <c r="R15">
        <v>872000000</v>
      </c>
      <c r="S15">
        <v>614000000</v>
      </c>
      <c r="T15">
        <v>367000000</v>
      </c>
      <c r="U15">
        <v>3625000000</v>
      </c>
      <c r="V15">
        <v>2267000000</v>
      </c>
      <c r="W15">
        <v>182000000</v>
      </c>
      <c r="X15">
        <v>2085000000</v>
      </c>
      <c r="Y15">
        <v>126000000</v>
      </c>
      <c r="Z15" s="1">
        <v>46083</v>
      </c>
      <c r="AA15">
        <v>189.04</v>
      </c>
      <c r="AB15">
        <v>1005038256</v>
      </c>
      <c r="AC15">
        <v>25</v>
      </c>
      <c r="AD15">
        <v>5.9238</v>
      </c>
      <c r="AE15">
        <v>6.9424000000000001</v>
      </c>
      <c r="AF15">
        <v>-1.0794999999999999</v>
      </c>
      <c r="AG15">
        <v>25</v>
      </c>
      <c r="AH15">
        <v>5.9238269347958559</v>
      </c>
      <c r="AI15">
        <v>6.9424276396621751</v>
      </c>
      <c r="AJ15">
        <v>13.859876372337409</v>
      </c>
      <c r="AK15">
        <v>2.1396251009174314</v>
      </c>
    </row>
    <row r="16" spans="1:37" x14ac:dyDescent="0.35">
      <c r="A16">
        <v>99</v>
      </c>
      <c r="B16" t="s">
        <v>251</v>
      </c>
      <c r="C16" t="s">
        <v>252</v>
      </c>
      <c r="D16" t="s">
        <v>31</v>
      </c>
      <c r="E16" t="s">
        <v>36</v>
      </c>
      <c r="F16">
        <v>37874999296</v>
      </c>
      <c r="G16">
        <v>0.62080000000000002</v>
      </c>
      <c r="H16">
        <v>4.5600000000000002E-2</v>
      </c>
      <c r="I16">
        <v>0.81</v>
      </c>
      <c r="J16">
        <v>0.14230000000000001</v>
      </c>
      <c r="L16">
        <v>0.14530000000000001</v>
      </c>
      <c r="N16">
        <v>796897000</v>
      </c>
      <c r="O16">
        <v>11.8</v>
      </c>
      <c r="P16">
        <v>2024</v>
      </c>
      <c r="Q16">
        <v>5763531000</v>
      </c>
      <c r="R16">
        <v>3649239000</v>
      </c>
      <c r="S16">
        <v>2801428000</v>
      </c>
      <c r="T16">
        <v>1934224000</v>
      </c>
      <c r="U16">
        <v>16975364000</v>
      </c>
      <c r="V16">
        <v>7011662000</v>
      </c>
      <c r="W16">
        <v>1821283000</v>
      </c>
      <c r="X16">
        <v>5190379000</v>
      </c>
      <c r="Y16">
        <v>825184000</v>
      </c>
      <c r="Z16" s="1">
        <v>46085</v>
      </c>
      <c r="AA16">
        <v>25.26</v>
      </c>
      <c r="AB16">
        <v>1500000000</v>
      </c>
      <c r="AC16">
        <v>13.988799999999999</v>
      </c>
      <c r="AD16">
        <v>21.176300000000001</v>
      </c>
      <c r="AE16">
        <v>11.824299999999999</v>
      </c>
      <c r="AF16">
        <v>0.32279999999999998</v>
      </c>
      <c r="AG16">
        <v>13.988817165196828</v>
      </c>
      <c r="AH16">
        <v>21.176315254925857</v>
      </c>
      <c r="AI16">
        <v>11.824255407210414</v>
      </c>
      <c r="AJ16">
        <v>15.495698064719614</v>
      </c>
      <c r="AK16">
        <v>10.378876060460826</v>
      </c>
    </row>
    <row r="17" spans="1:37" x14ac:dyDescent="0.35">
      <c r="A17">
        <v>10</v>
      </c>
      <c r="B17" t="s">
        <v>60</v>
      </c>
      <c r="C17" t="s">
        <v>61</v>
      </c>
      <c r="D17" t="s">
        <v>62</v>
      </c>
      <c r="E17" t="s">
        <v>39</v>
      </c>
      <c r="F17">
        <v>1453789312</v>
      </c>
      <c r="G17">
        <v>0.77559999999999996</v>
      </c>
      <c r="H17">
        <v>3.3300000000000003E-2</v>
      </c>
      <c r="I17">
        <v>-3.07</v>
      </c>
      <c r="J17">
        <v>1.4E-3</v>
      </c>
      <c r="K17">
        <v>373.33</v>
      </c>
      <c r="L17">
        <v>-0.1661</v>
      </c>
      <c r="N17">
        <v>3100000</v>
      </c>
      <c r="O17">
        <v>22.86</v>
      </c>
      <c r="P17">
        <v>2024</v>
      </c>
      <c r="Q17">
        <v>189000000</v>
      </c>
      <c r="R17">
        <v>131500000</v>
      </c>
      <c r="S17">
        <v>128400000</v>
      </c>
      <c r="T17">
        <v>93700000</v>
      </c>
      <c r="U17">
        <v>979700000</v>
      </c>
      <c r="V17">
        <v>6400000</v>
      </c>
      <c r="W17">
        <v>511800000</v>
      </c>
      <c r="X17">
        <v>-505400000</v>
      </c>
      <c r="Y17">
        <v>800000</v>
      </c>
      <c r="Z17" s="1">
        <v>46083</v>
      </c>
      <c r="AA17">
        <v>231.4</v>
      </c>
      <c r="AB17">
        <v>650149952</v>
      </c>
      <c r="AC17">
        <v>13.3924</v>
      </c>
      <c r="AD17">
        <v>25</v>
      </c>
      <c r="AE17">
        <v>1</v>
      </c>
      <c r="AF17">
        <v>2.8193000000000001</v>
      </c>
      <c r="AG17">
        <v>13.392399309028086</v>
      </c>
      <c r="AH17">
        <v>25</v>
      </c>
      <c r="AI17">
        <v>1</v>
      </c>
      <c r="AJ17">
        <v>13.156959723611235</v>
      </c>
      <c r="AK17">
        <v>11.055432030418251</v>
      </c>
    </row>
    <row r="18" spans="1:37" x14ac:dyDescent="0.35">
      <c r="A18">
        <v>32</v>
      </c>
      <c r="B18" t="s">
        <v>110</v>
      </c>
      <c r="C18" t="s">
        <v>111</v>
      </c>
      <c r="D18" t="s">
        <v>31</v>
      </c>
      <c r="E18" t="s">
        <v>43</v>
      </c>
      <c r="F18">
        <v>3191384576</v>
      </c>
      <c r="G18">
        <v>0.18559999999999999</v>
      </c>
      <c r="H18">
        <v>0.4995</v>
      </c>
      <c r="I18">
        <v>2.02</v>
      </c>
      <c r="J18">
        <v>2.1299999999999999E-2</v>
      </c>
      <c r="K18">
        <v>7.34</v>
      </c>
      <c r="L18">
        <v>8.2799999999999999E-2</v>
      </c>
      <c r="N18">
        <v>739000000</v>
      </c>
      <c r="O18">
        <v>4.4400000000000004</v>
      </c>
      <c r="P18">
        <v>2024</v>
      </c>
      <c r="Q18">
        <v>10280000000</v>
      </c>
      <c r="R18">
        <v>1908000000</v>
      </c>
      <c r="S18">
        <v>1129000000</v>
      </c>
      <c r="T18">
        <v>523000000</v>
      </c>
      <c r="U18">
        <v>12074000000</v>
      </c>
      <c r="V18">
        <v>4907000000</v>
      </c>
      <c r="W18">
        <v>1058000000</v>
      </c>
      <c r="X18">
        <v>3849000000</v>
      </c>
      <c r="Y18">
        <v>219000000</v>
      </c>
      <c r="Z18" s="1">
        <v>46083</v>
      </c>
      <c r="AA18">
        <v>49.6</v>
      </c>
      <c r="AB18">
        <v>58130862</v>
      </c>
      <c r="AC18">
        <v>25</v>
      </c>
      <c r="AD18">
        <v>7.0320999999999998</v>
      </c>
      <c r="AE18">
        <v>8.0711999999999993</v>
      </c>
      <c r="AF18">
        <v>-0.28999999999999998</v>
      </c>
      <c r="AG18">
        <v>25</v>
      </c>
      <c r="AH18">
        <v>7.032094251472679</v>
      </c>
      <c r="AI18">
        <v>8.0711872250051258</v>
      </c>
      <c r="AJ18">
        <v>14.530984442943341</v>
      </c>
      <c r="AK18">
        <v>1.6726334255765198</v>
      </c>
    </row>
    <row r="19" spans="1:37" x14ac:dyDescent="0.35">
      <c r="A19">
        <v>43</v>
      </c>
      <c r="B19" t="s">
        <v>132</v>
      </c>
      <c r="C19" t="s">
        <v>133</v>
      </c>
      <c r="D19" t="s">
        <v>49</v>
      </c>
      <c r="E19" t="s">
        <v>32</v>
      </c>
      <c r="F19">
        <v>2232169984</v>
      </c>
      <c r="G19">
        <v>0.15570000000000001</v>
      </c>
      <c r="H19">
        <v>5.9700000000000003E-2</v>
      </c>
      <c r="I19">
        <v>0.3</v>
      </c>
      <c r="J19">
        <v>3.44E-2</v>
      </c>
      <c r="K19">
        <v>13.03</v>
      </c>
      <c r="L19">
        <v>5.5E-2</v>
      </c>
      <c r="N19">
        <v>126378000</v>
      </c>
      <c r="O19">
        <v>10.42</v>
      </c>
      <c r="P19">
        <v>2024</v>
      </c>
      <c r="Q19">
        <v>2066127000</v>
      </c>
      <c r="R19">
        <v>403061000</v>
      </c>
      <c r="S19">
        <v>270290000</v>
      </c>
      <c r="T19">
        <v>178726000</v>
      </c>
      <c r="U19">
        <v>3393200000</v>
      </c>
      <c r="V19">
        <v>151347000</v>
      </c>
      <c r="W19">
        <v>20285000</v>
      </c>
      <c r="X19">
        <v>131062000</v>
      </c>
      <c r="Y19">
        <v>152204000</v>
      </c>
      <c r="Z19" s="1">
        <v>46083</v>
      </c>
      <c r="AA19">
        <v>26.58</v>
      </c>
      <c r="AB19">
        <v>87536079</v>
      </c>
      <c r="AC19">
        <v>14.672499999999999</v>
      </c>
      <c r="AD19">
        <v>6.0602999999999998</v>
      </c>
      <c r="AE19">
        <v>15.4991</v>
      </c>
      <c r="AF19">
        <v>9.0399999999999994E-2</v>
      </c>
      <c r="AG19">
        <v>14.672515683243923</v>
      </c>
      <c r="AH19">
        <v>6.060329067641681</v>
      </c>
      <c r="AI19">
        <v>15.499065079322667</v>
      </c>
      <c r="AJ19">
        <v>12.336824517386873</v>
      </c>
      <c r="AK19">
        <v>5.5380450701010515</v>
      </c>
    </row>
    <row r="20" spans="1:37" x14ac:dyDescent="0.35">
      <c r="A20">
        <v>12</v>
      </c>
      <c r="B20" t="s">
        <v>65</v>
      </c>
      <c r="C20" t="s">
        <v>66</v>
      </c>
      <c r="D20" t="s">
        <v>49</v>
      </c>
      <c r="E20" t="s">
        <v>39</v>
      </c>
      <c r="F20">
        <v>1823043072</v>
      </c>
      <c r="G20">
        <v>0.13930000000000001</v>
      </c>
      <c r="H20">
        <v>2.6700000000000002E-2</v>
      </c>
      <c r="I20">
        <v>2.33</v>
      </c>
      <c r="J20">
        <v>2.76E-2</v>
      </c>
      <c r="K20">
        <v>4.57</v>
      </c>
      <c r="L20">
        <v>4.5999999999999999E-2</v>
      </c>
      <c r="N20">
        <v>44700000</v>
      </c>
      <c r="O20">
        <v>21.52</v>
      </c>
      <c r="P20">
        <v>2024</v>
      </c>
      <c r="Q20">
        <v>668800000</v>
      </c>
      <c r="R20">
        <v>73700000</v>
      </c>
      <c r="S20">
        <v>26800000</v>
      </c>
      <c r="T20">
        <v>7900000</v>
      </c>
      <c r="U20">
        <v>987800000</v>
      </c>
      <c r="V20">
        <v>291200000</v>
      </c>
      <c r="W20">
        <v>42500000</v>
      </c>
      <c r="X20">
        <v>248700000</v>
      </c>
      <c r="Y20">
        <v>24700000</v>
      </c>
      <c r="Z20" s="1">
        <v>46083</v>
      </c>
      <c r="AA20">
        <v>2870</v>
      </c>
      <c r="AB20">
        <v>66413228</v>
      </c>
      <c r="AC20">
        <v>13.0724</v>
      </c>
      <c r="AD20">
        <v>5.5273000000000003</v>
      </c>
      <c r="AE20">
        <v>7.5486000000000004</v>
      </c>
      <c r="AF20">
        <v>-1.1935</v>
      </c>
      <c r="AG20">
        <v>13.072370215474127</v>
      </c>
      <c r="AH20">
        <v>5.5273207393865533</v>
      </c>
      <c r="AI20">
        <v>7.5485538750348127</v>
      </c>
      <c r="AJ20">
        <v>9.1517104705160612</v>
      </c>
      <c r="AK20">
        <v>24.735998263229309</v>
      </c>
    </row>
    <row r="21" spans="1:37" x14ac:dyDescent="0.35">
      <c r="A21">
        <v>31</v>
      </c>
      <c r="B21" t="s">
        <v>107</v>
      </c>
      <c r="C21" t="s">
        <v>108</v>
      </c>
      <c r="D21" t="s">
        <v>106</v>
      </c>
      <c r="E21" t="s">
        <v>109</v>
      </c>
      <c r="F21">
        <v>4417032704</v>
      </c>
      <c r="G21">
        <v>0.11269999999999999</v>
      </c>
      <c r="H21">
        <v>6.8400000000000002E-2</v>
      </c>
      <c r="I21">
        <v>2.72</v>
      </c>
      <c r="J21">
        <v>5.5999999999999999E-3</v>
      </c>
      <c r="K21">
        <v>8.1199999999999992</v>
      </c>
      <c r="L21">
        <v>1.35E-2</v>
      </c>
      <c r="N21">
        <v>142918000</v>
      </c>
      <c r="O21">
        <v>11.2</v>
      </c>
      <c r="P21">
        <v>2024</v>
      </c>
      <c r="Q21">
        <v>4727602000</v>
      </c>
      <c r="R21">
        <v>606812000</v>
      </c>
      <c r="S21">
        <v>452528000</v>
      </c>
      <c r="T21">
        <v>278243000</v>
      </c>
      <c r="U21">
        <v>4878261000</v>
      </c>
      <c r="V21">
        <v>1695652000</v>
      </c>
      <c r="W21">
        <v>522780000</v>
      </c>
      <c r="X21">
        <v>1172872000</v>
      </c>
      <c r="Y21">
        <v>26452000</v>
      </c>
      <c r="Z21" s="1">
        <v>46083</v>
      </c>
      <c r="AA21">
        <v>79.22</v>
      </c>
      <c r="AB21">
        <v>59032832</v>
      </c>
      <c r="AC21">
        <v>15.0944</v>
      </c>
      <c r="AD21">
        <v>4.6627999999999998</v>
      </c>
      <c r="AE21">
        <v>7.0148000000000001</v>
      </c>
      <c r="AF21">
        <v>-1.401</v>
      </c>
      <c r="AG21">
        <v>15.094372215655959</v>
      </c>
      <c r="AH21">
        <v>4.66280723136299</v>
      </c>
      <c r="AI21">
        <v>7.0147717387227804</v>
      </c>
      <c r="AJ21">
        <v>9.5410225772881141</v>
      </c>
      <c r="AK21">
        <v>7.2790793590106988</v>
      </c>
    </row>
    <row r="22" spans="1:37" x14ac:dyDescent="0.35">
      <c r="A22">
        <v>13</v>
      </c>
      <c r="B22" t="s">
        <v>67</v>
      </c>
      <c r="C22" t="s">
        <v>68</v>
      </c>
      <c r="D22" t="s">
        <v>46</v>
      </c>
      <c r="E22" t="s">
        <v>69</v>
      </c>
      <c r="F22">
        <v>3206888960</v>
      </c>
      <c r="G22">
        <v>0.73519999999999996</v>
      </c>
      <c r="H22">
        <v>8.6900000000000005E-2</v>
      </c>
      <c r="I22">
        <v>10.02</v>
      </c>
      <c r="J22">
        <v>1.1999999999999999E-3</v>
      </c>
      <c r="K22">
        <v>6.81</v>
      </c>
      <c r="L22">
        <v>-1.3599999999999999E-2</v>
      </c>
      <c r="N22">
        <v>1856000</v>
      </c>
      <c r="O22">
        <v>23.43</v>
      </c>
      <c r="Z22" s="1">
        <v>46083</v>
      </c>
      <c r="AA22">
        <v>91.45</v>
      </c>
      <c r="AB22">
        <v>38086569</v>
      </c>
      <c r="AC22">
        <v>15.991400000000001</v>
      </c>
      <c r="AD22">
        <v>24.894400000000001</v>
      </c>
      <c r="AE22">
        <v>3.9956</v>
      </c>
      <c r="AF22">
        <v>-5.0080999999999998</v>
      </c>
      <c r="AG22">
        <v>15.991423462739029</v>
      </c>
      <c r="AH22">
        <v>24.894373349583585</v>
      </c>
      <c r="AI22">
        <v>3.9956200909938975</v>
      </c>
      <c r="AJ22">
        <v>15.063567417268857</v>
      </c>
    </row>
    <row r="23" spans="1:37" x14ac:dyDescent="0.35">
      <c r="A23">
        <v>14</v>
      </c>
      <c r="B23" t="s">
        <v>70</v>
      </c>
      <c r="C23" t="s">
        <v>71</v>
      </c>
      <c r="D23" t="s">
        <v>31</v>
      </c>
      <c r="E23" t="s">
        <v>32</v>
      </c>
      <c r="F23">
        <v>1497346304</v>
      </c>
      <c r="G23">
        <v>0.1361</v>
      </c>
      <c r="H23">
        <v>5.3900000000000003E-2</v>
      </c>
      <c r="I23">
        <v>0.96</v>
      </c>
      <c r="J23">
        <v>4.5999999999999999E-2</v>
      </c>
      <c r="K23">
        <v>8.76</v>
      </c>
      <c r="L23">
        <v>8.8800000000000004E-2</v>
      </c>
      <c r="N23">
        <v>55200000</v>
      </c>
      <c r="O23">
        <v>12.97</v>
      </c>
      <c r="P23">
        <v>2024</v>
      </c>
      <c r="Q23">
        <v>1209600000</v>
      </c>
      <c r="R23">
        <v>164600000</v>
      </c>
      <c r="S23">
        <v>109400000</v>
      </c>
      <c r="T23">
        <v>69200000</v>
      </c>
      <c r="U23">
        <v>1490800000</v>
      </c>
      <c r="V23">
        <v>253500000</v>
      </c>
      <c r="W23">
        <v>94700000</v>
      </c>
      <c r="X23">
        <v>158800000</v>
      </c>
      <c r="Y23">
        <v>55700000</v>
      </c>
      <c r="Z23" s="1">
        <v>46083</v>
      </c>
      <c r="AA23">
        <v>80.2</v>
      </c>
      <c r="AB23">
        <v>19320597</v>
      </c>
      <c r="AC23">
        <v>14.391299999999999</v>
      </c>
      <c r="AD23">
        <v>5.4233000000000002</v>
      </c>
      <c r="AE23">
        <v>11.1074</v>
      </c>
      <c r="AF23">
        <v>-0.3372</v>
      </c>
      <c r="AG23">
        <v>14.391277994969231</v>
      </c>
      <c r="AH23">
        <v>5.4233191143611617</v>
      </c>
      <c r="AI23">
        <v>11.107380771294157</v>
      </c>
      <c r="AJ23">
        <v>10.715721163684288</v>
      </c>
      <c r="AK23">
        <v>9.096879125151883</v>
      </c>
    </row>
    <row r="24" spans="1:37" x14ac:dyDescent="0.35">
      <c r="A24">
        <v>160</v>
      </c>
      <c r="B24" t="s">
        <v>372</v>
      </c>
      <c r="C24" t="s">
        <v>373</v>
      </c>
      <c r="D24" t="s">
        <v>31</v>
      </c>
      <c r="E24" t="s">
        <v>197</v>
      </c>
      <c r="F24">
        <v>212945715200</v>
      </c>
      <c r="G24">
        <v>0.2024</v>
      </c>
      <c r="H24">
        <v>3.0599999999999999E-2</v>
      </c>
      <c r="I24">
        <v>0.98</v>
      </c>
      <c r="J24">
        <v>3.8199999999999998E-2</v>
      </c>
      <c r="L24">
        <v>0.10440000000000001</v>
      </c>
      <c r="N24">
        <v>2503000000</v>
      </c>
      <c r="O24">
        <v>16.05</v>
      </c>
      <c r="P24">
        <v>2024</v>
      </c>
      <c r="Q24">
        <v>66954000000</v>
      </c>
      <c r="R24">
        <v>12738000000</v>
      </c>
      <c r="S24">
        <v>10320000000</v>
      </c>
      <c r="T24">
        <v>7391000000</v>
      </c>
      <c r="U24">
        <v>88803000000</v>
      </c>
      <c r="V24">
        <v>13592000000</v>
      </c>
      <c r="W24">
        <v>7369000000</v>
      </c>
      <c r="X24">
        <v>6223000000</v>
      </c>
      <c r="Y24">
        <v>3336000000</v>
      </c>
      <c r="Z24" s="1">
        <v>46085</v>
      </c>
      <c r="AA24">
        <v>515.79999999999995</v>
      </c>
      <c r="AB24">
        <v>413326315</v>
      </c>
      <c r="AC24">
        <v>13.2615</v>
      </c>
      <c r="AD24">
        <v>7.5781000000000001</v>
      </c>
      <c r="AE24">
        <v>11.02</v>
      </c>
      <c r="AF24">
        <v>-0.30230000000000001</v>
      </c>
      <c r="AG24">
        <v>13.261478316210557</v>
      </c>
      <c r="AH24">
        <v>7.5781027828559813</v>
      </c>
      <c r="AI24">
        <v>11.02000413216901</v>
      </c>
      <c r="AJ24">
        <v>10.884023400991721</v>
      </c>
      <c r="AK24">
        <v>16.717358706233316</v>
      </c>
    </row>
    <row r="25" spans="1:37" x14ac:dyDescent="0.35">
      <c r="A25">
        <v>15</v>
      </c>
      <c r="B25" t="s">
        <v>72</v>
      </c>
      <c r="C25" t="s">
        <v>73</v>
      </c>
      <c r="D25" t="s">
        <v>35</v>
      </c>
      <c r="E25" t="s">
        <v>39</v>
      </c>
      <c r="F25">
        <v>715177344</v>
      </c>
      <c r="G25">
        <v>0.11310000000000001</v>
      </c>
      <c r="H25">
        <v>8.7099999999999997E-2</v>
      </c>
      <c r="I25">
        <v>4.6900000000000004</v>
      </c>
      <c r="J25">
        <v>5.4199999999999998E-2</v>
      </c>
      <c r="K25">
        <v>3.42</v>
      </c>
      <c r="L25">
        <v>0.47210000000000002</v>
      </c>
      <c r="N25">
        <v>102382000</v>
      </c>
      <c r="O25">
        <v>8.89</v>
      </c>
      <c r="P25">
        <v>2024</v>
      </c>
      <c r="Q25">
        <v>2035500000</v>
      </c>
      <c r="R25">
        <v>230222000</v>
      </c>
      <c r="S25">
        <v>127840000</v>
      </c>
      <c r="T25">
        <v>48785000</v>
      </c>
      <c r="U25">
        <v>1904370000</v>
      </c>
      <c r="V25">
        <v>1137376000</v>
      </c>
      <c r="W25">
        <v>57233000</v>
      </c>
      <c r="X25">
        <v>1080143000</v>
      </c>
      <c r="Y25">
        <v>110266000</v>
      </c>
      <c r="Z25" s="1">
        <v>46083</v>
      </c>
      <c r="AA25">
        <v>706.5</v>
      </c>
      <c r="AB25">
        <v>105405650</v>
      </c>
      <c r="AC25">
        <v>16.001100000000001</v>
      </c>
      <c r="AD25">
        <v>4.6757999999999997</v>
      </c>
      <c r="AE25">
        <v>5.4367999999999999</v>
      </c>
      <c r="AF25">
        <v>-2.5562999999999998</v>
      </c>
      <c r="AG25">
        <v>16.001121314058846</v>
      </c>
      <c r="AH25">
        <v>4.6758074344911638</v>
      </c>
      <c r="AI25">
        <v>5.4368058100036762</v>
      </c>
      <c r="AJ25">
        <v>9.4342324989719906</v>
      </c>
      <c r="AK25">
        <v>3.1064682958188183</v>
      </c>
    </row>
    <row r="26" spans="1:37" x14ac:dyDescent="0.35">
      <c r="A26">
        <v>16</v>
      </c>
      <c r="B26" t="s">
        <v>74</v>
      </c>
      <c r="C26" t="s">
        <v>75</v>
      </c>
      <c r="D26" t="s">
        <v>58</v>
      </c>
      <c r="E26" t="s">
        <v>43</v>
      </c>
      <c r="F26">
        <v>597083584</v>
      </c>
      <c r="G26">
        <v>0.21149999999999999</v>
      </c>
      <c r="H26">
        <v>6.3600000000000004E-2</v>
      </c>
      <c r="I26">
        <v>0.88</v>
      </c>
      <c r="J26">
        <v>4.9399999999999999E-2</v>
      </c>
      <c r="K26">
        <v>12.08</v>
      </c>
      <c r="L26">
        <v>-1.8599999999999998E-2</v>
      </c>
      <c r="N26">
        <v>20371000</v>
      </c>
      <c r="O26">
        <v>11.16</v>
      </c>
      <c r="P26">
        <v>2024</v>
      </c>
      <c r="Q26">
        <v>305728000</v>
      </c>
      <c r="R26">
        <v>63293000</v>
      </c>
      <c r="S26">
        <v>42048000</v>
      </c>
      <c r="T26">
        <v>28850000</v>
      </c>
      <c r="U26">
        <v>501741000</v>
      </c>
      <c r="V26">
        <v>104608000</v>
      </c>
      <c r="W26">
        <v>40370000</v>
      </c>
      <c r="X26">
        <v>64238000</v>
      </c>
      <c r="Y26">
        <v>21536000</v>
      </c>
      <c r="Z26" s="1">
        <v>46083</v>
      </c>
      <c r="AA26">
        <v>9.24</v>
      </c>
      <c r="AB26">
        <v>64340909</v>
      </c>
      <c r="AC26">
        <v>14.861599999999999</v>
      </c>
      <c r="AD26">
        <v>7.8738999999999999</v>
      </c>
      <c r="AE26">
        <v>11.4755</v>
      </c>
      <c r="AF26">
        <v>-0.1852</v>
      </c>
      <c r="AG26">
        <v>14.861623783980352</v>
      </c>
      <c r="AH26">
        <v>7.8738574040219387</v>
      </c>
      <c r="AI26">
        <v>11.475478102076687</v>
      </c>
      <c r="AJ26">
        <v>11.749450165421729</v>
      </c>
      <c r="AK26">
        <v>9.433643278087624</v>
      </c>
    </row>
    <row r="27" spans="1:37" x14ac:dyDescent="0.35">
      <c r="A27">
        <v>105</v>
      </c>
      <c r="B27" t="s">
        <v>263</v>
      </c>
      <c r="C27" t="s">
        <v>264</v>
      </c>
      <c r="D27" t="s">
        <v>31</v>
      </c>
      <c r="E27" t="s">
        <v>36</v>
      </c>
      <c r="F27">
        <v>12034308096</v>
      </c>
      <c r="G27">
        <v>0.13350000000000001</v>
      </c>
      <c r="H27">
        <v>-4.0899999999999999E-2</v>
      </c>
      <c r="I27">
        <v>3.25</v>
      </c>
      <c r="J27">
        <v>0.14230000000000001</v>
      </c>
      <c r="L27">
        <v>0.2341</v>
      </c>
      <c r="N27">
        <v>1372000000</v>
      </c>
      <c r="O27">
        <v>7.32</v>
      </c>
      <c r="P27">
        <v>2024</v>
      </c>
      <c r="Q27">
        <v>19190000000</v>
      </c>
      <c r="R27">
        <v>2562000000</v>
      </c>
      <c r="S27">
        <v>1423000000</v>
      </c>
      <c r="T27">
        <v>422000000</v>
      </c>
      <c r="U27">
        <v>34620000000</v>
      </c>
      <c r="V27">
        <v>12556000000</v>
      </c>
      <c r="W27">
        <v>4240000000</v>
      </c>
      <c r="X27">
        <v>8316000000</v>
      </c>
      <c r="Y27">
        <v>2731000000</v>
      </c>
      <c r="Z27" s="1">
        <v>46085</v>
      </c>
      <c r="AA27">
        <v>220.4</v>
      </c>
      <c r="AB27">
        <v>54503208</v>
      </c>
      <c r="AC27">
        <v>9.7944999999999993</v>
      </c>
      <c r="AD27">
        <v>5.3388</v>
      </c>
      <c r="AE27">
        <v>6.4463999999999997</v>
      </c>
      <c r="AF27">
        <v>-1.8471</v>
      </c>
      <c r="AG27">
        <v>9.7944964693759982</v>
      </c>
      <c r="AH27">
        <v>5.3388177940280315</v>
      </c>
      <c r="AI27">
        <v>6.4464024522207559</v>
      </c>
      <c r="AJ27">
        <v>7.4533646616250362</v>
      </c>
      <c r="AK27">
        <v>4.6972318875878223</v>
      </c>
    </row>
    <row r="28" spans="1:37" x14ac:dyDescent="0.35">
      <c r="A28">
        <v>17</v>
      </c>
      <c r="B28" t="s">
        <v>76</v>
      </c>
      <c r="C28" t="s">
        <v>77</v>
      </c>
      <c r="D28" t="s">
        <v>46</v>
      </c>
      <c r="E28" t="s">
        <v>39</v>
      </c>
      <c r="F28">
        <v>1315115776</v>
      </c>
      <c r="G28">
        <v>1.4034</v>
      </c>
      <c r="H28">
        <v>-3.5000000000000001E-3</v>
      </c>
      <c r="I28">
        <v>6.93</v>
      </c>
      <c r="J28">
        <v>6.4000000000000003E-3</v>
      </c>
      <c r="K28">
        <v>10.41</v>
      </c>
      <c r="L28">
        <v>3.8899999999999997E-2</v>
      </c>
      <c r="N28">
        <v>1700000</v>
      </c>
      <c r="O28">
        <v>71.98</v>
      </c>
      <c r="P28">
        <v>2024</v>
      </c>
      <c r="Q28">
        <v>95400000</v>
      </c>
      <c r="R28">
        <v>-288600000</v>
      </c>
      <c r="S28">
        <v>-290200000</v>
      </c>
      <c r="T28">
        <v>-307800000</v>
      </c>
      <c r="U28">
        <v>2478000000</v>
      </c>
      <c r="V28">
        <v>815500000</v>
      </c>
      <c r="W28">
        <v>5900000</v>
      </c>
      <c r="X28">
        <v>809600000</v>
      </c>
      <c r="Y28">
        <v>100000</v>
      </c>
      <c r="Z28" s="1">
        <v>46083</v>
      </c>
      <c r="AA28">
        <v>339</v>
      </c>
      <c r="AB28">
        <v>403409734</v>
      </c>
      <c r="AC28">
        <v>11.608000000000001</v>
      </c>
      <c r="AD28">
        <v>25</v>
      </c>
      <c r="AE28">
        <v>4.5951000000000004</v>
      </c>
      <c r="AF28">
        <v>-2.4788000000000001</v>
      </c>
      <c r="AG28">
        <v>11.607994666181767</v>
      </c>
      <c r="AH28">
        <v>25</v>
      </c>
      <c r="AI28">
        <v>4.5951216260059713</v>
      </c>
      <c r="AJ28">
        <v>13.5217343542745</v>
      </c>
      <c r="AK28">
        <v>-4.5568807207207209</v>
      </c>
    </row>
    <row r="29" spans="1:37" x14ac:dyDescent="0.35">
      <c r="A29">
        <v>44</v>
      </c>
      <c r="B29" t="s">
        <v>134</v>
      </c>
      <c r="C29" t="s">
        <v>135</v>
      </c>
      <c r="D29" t="s">
        <v>46</v>
      </c>
      <c r="E29" t="s">
        <v>82</v>
      </c>
      <c r="F29">
        <v>2029408768</v>
      </c>
      <c r="G29">
        <v>0.49759999999999999</v>
      </c>
      <c r="H29">
        <v>0.53810000000000002</v>
      </c>
      <c r="I29">
        <v>3.74</v>
      </c>
      <c r="J29">
        <v>6.4199999999999993E-2</v>
      </c>
      <c r="K29">
        <v>4.18</v>
      </c>
      <c r="L29">
        <v>7.2999999999999995E-2</v>
      </c>
      <c r="N29">
        <v>1344000000</v>
      </c>
      <c r="O29">
        <v>19.61</v>
      </c>
      <c r="P29">
        <v>2024</v>
      </c>
      <c r="Q29">
        <v>3690000000</v>
      </c>
      <c r="R29">
        <v>1836000000</v>
      </c>
      <c r="S29">
        <v>492000000</v>
      </c>
      <c r="T29">
        <v>20000000</v>
      </c>
      <c r="U29">
        <v>9633000000</v>
      </c>
      <c r="V29">
        <v>6995000000</v>
      </c>
      <c r="W29">
        <v>137000000</v>
      </c>
      <c r="X29">
        <v>6858000000</v>
      </c>
      <c r="Y29">
        <v>237000000</v>
      </c>
      <c r="Z29" s="1">
        <v>46083</v>
      </c>
      <c r="AA29">
        <v>212.4</v>
      </c>
      <c r="AB29">
        <v>988797019</v>
      </c>
      <c r="AC29">
        <v>25</v>
      </c>
      <c r="AD29">
        <v>17.1723</v>
      </c>
      <c r="AE29">
        <v>6.0339999999999998</v>
      </c>
      <c r="AF29">
        <v>-0.89349999999999996</v>
      </c>
      <c r="AG29">
        <v>25</v>
      </c>
      <c r="AH29">
        <v>17.1722526914483</v>
      </c>
      <c r="AI29">
        <v>6.0340055350024242</v>
      </c>
      <c r="AJ29">
        <v>16.961877467935217</v>
      </c>
      <c r="AK29">
        <v>1.1053424662309368</v>
      </c>
    </row>
    <row r="30" spans="1:37" x14ac:dyDescent="0.35">
      <c r="A30">
        <v>18</v>
      </c>
      <c r="B30" t="s">
        <v>78</v>
      </c>
      <c r="C30" t="s">
        <v>79</v>
      </c>
      <c r="D30" t="s">
        <v>49</v>
      </c>
      <c r="E30" t="s">
        <v>43</v>
      </c>
      <c r="F30">
        <v>2894538240</v>
      </c>
      <c r="G30">
        <v>0.19769999999999999</v>
      </c>
      <c r="H30">
        <v>4.2799999999999998E-2</v>
      </c>
      <c r="I30">
        <v>0.56999999999999995</v>
      </c>
      <c r="J30">
        <v>5.7599999999999998E-2</v>
      </c>
      <c r="K30">
        <v>24.85</v>
      </c>
      <c r="L30">
        <v>9.6299999999999997E-2</v>
      </c>
      <c r="N30">
        <v>57352000</v>
      </c>
      <c r="O30">
        <v>11.87</v>
      </c>
      <c r="P30">
        <v>2024</v>
      </c>
      <c r="Q30">
        <v>1397379000</v>
      </c>
      <c r="R30">
        <v>276264000</v>
      </c>
      <c r="S30">
        <v>218912000</v>
      </c>
      <c r="T30">
        <v>145290000</v>
      </c>
      <c r="U30">
        <v>1848522000</v>
      </c>
      <c r="V30">
        <v>307014000</v>
      </c>
      <c r="W30">
        <v>149631000</v>
      </c>
      <c r="X30">
        <v>157383000</v>
      </c>
      <c r="Y30">
        <v>80439000</v>
      </c>
      <c r="Z30" s="1">
        <v>46083</v>
      </c>
      <c r="AA30">
        <v>362</v>
      </c>
      <c r="AB30">
        <v>8377824</v>
      </c>
      <c r="AC30">
        <v>13.853</v>
      </c>
      <c r="AD30">
        <v>7.4253999999999998</v>
      </c>
      <c r="AE30">
        <v>13.2562</v>
      </c>
      <c r="AF30">
        <v>-4.48E-2</v>
      </c>
      <c r="AG30">
        <v>13.853047246719388</v>
      </c>
      <c r="AH30">
        <v>7.4253503960999376</v>
      </c>
      <c r="AI30">
        <v>13.256178246849512</v>
      </c>
      <c r="AJ30">
        <v>11.745677491572589</v>
      </c>
      <c r="AK30">
        <v>10.477435496481625</v>
      </c>
    </row>
    <row r="31" spans="1:37" x14ac:dyDescent="0.35">
      <c r="A31">
        <v>96</v>
      </c>
      <c r="B31" t="s">
        <v>244</v>
      </c>
      <c r="C31" t="s">
        <v>245</v>
      </c>
      <c r="D31" t="s">
        <v>49</v>
      </c>
      <c r="E31" t="s">
        <v>109</v>
      </c>
      <c r="F31">
        <v>40100450304</v>
      </c>
      <c r="G31">
        <v>4.8000000000000001E-2</v>
      </c>
      <c r="H31">
        <v>-3.8E-3</v>
      </c>
      <c r="I31">
        <v>-13.89</v>
      </c>
      <c r="J31">
        <v>3.1199999999999999E-2</v>
      </c>
      <c r="L31">
        <v>0.8659</v>
      </c>
      <c r="N31">
        <v>17527000</v>
      </c>
      <c r="O31">
        <v>32.340000000000003</v>
      </c>
      <c r="P31">
        <v>2024</v>
      </c>
      <c r="Q31">
        <v>2190231000</v>
      </c>
      <c r="R31">
        <v>105171000</v>
      </c>
      <c r="S31">
        <v>87644000</v>
      </c>
      <c r="T31">
        <v>833040000</v>
      </c>
      <c r="U31">
        <v>6202522000</v>
      </c>
      <c r="V31">
        <v>39053000</v>
      </c>
      <c r="W31">
        <v>1499936000</v>
      </c>
      <c r="X31">
        <v>-1460883000</v>
      </c>
      <c r="Y31">
        <v>68301000</v>
      </c>
      <c r="Z31" s="1">
        <v>46085</v>
      </c>
      <c r="AA31">
        <v>648.20000000000005</v>
      </c>
      <c r="AB31">
        <v>61883406</v>
      </c>
      <c r="AC31">
        <v>11.593400000000001</v>
      </c>
      <c r="AD31">
        <v>2.56</v>
      </c>
      <c r="AE31">
        <v>1.1417999999999999</v>
      </c>
      <c r="AF31">
        <v>8.3863000000000003</v>
      </c>
      <c r="AG31">
        <v>11.593447889202041</v>
      </c>
      <c r="AH31">
        <v>2.5600243753808654</v>
      </c>
      <c r="AI31">
        <v>1.1417666510587767</v>
      </c>
      <c r="AJ31">
        <v>5.7479164636127091</v>
      </c>
      <c r="AK31">
        <v>381.28809561571154</v>
      </c>
    </row>
    <row r="32" spans="1:37" x14ac:dyDescent="0.35">
      <c r="A32">
        <v>19</v>
      </c>
      <c r="B32" t="s">
        <v>80</v>
      </c>
      <c r="C32" t="s">
        <v>81</v>
      </c>
      <c r="D32" t="s">
        <v>49</v>
      </c>
      <c r="E32" t="s">
        <v>82</v>
      </c>
      <c r="F32">
        <v>646716672</v>
      </c>
      <c r="G32">
        <v>0.21970000000000001</v>
      </c>
      <c r="H32">
        <v>9.1600000000000001E-2</v>
      </c>
      <c r="I32">
        <v>-1.38</v>
      </c>
      <c r="J32">
        <v>1.23E-2</v>
      </c>
      <c r="K32">
        <v>15.21</v>
      </c>
      <c r="L32">
        <v>0.16800000000000001</v>
      </c>
      <c r="N32">
        <v>1814000</v>
      </c>
      <c r="O32">
        <v>10.88</v>
      </c>
      <c r="P32">
        <v>2024</v>
      </c>
      <c r="Q32">
        <v>208543000</v>
      </c>
      <c r="R32">
        <v>66336000</v>
      </c>
      <c r="S32">
        <v>64604000</v>
      </c>
      <c r="T32">
        <v>77593000</v>
      </c>
      <c r="U32">
        <v>257764000</v>
      </c>
      <c r="V32">
        <v>111671000</v>
      </c>
      <c r="W32">
        <v>120700000</v>
      </c>
      <c r="X32">
        <v>-9029000</v>
      </c>
      <c r="Y32">
        <v>1792000</v>
      </c>
      <c r="Z32" s="1">
        <v>46083</v>
      </c>
      <c r="AA32">
        <v>54.2</v>
      </c>
      <c r="AB32">
        <v>12271663</v>
      </c>
      <c r="AC32">
        <v>16.2193</v>
      </c>
      <c r="AD32">
        <v>8.1403999999999996</v>
      </c>
      <c r="AE32">
        <v>1</v>
      </c>
      <c r="AF32">
        <v>1.2199</v>
      </c>
      <c r="AG32">
        <v>16.219322968754724</v>
      </c>
      <c r="AH32">
        <v>8.140361568149503</v>
      </c>
      <c r="AI32">
        <v>1</v>
      </c>
      <c r="AJ32">
        <v>9.2298376579467423</v>
      </c>
      <c r="AK32">
        <v>9.749105643994211</v>
      </c>
    </row>
    <row r="33" spans="1:37" x14ac:dyDescent="0.35">
      <c r="A33">
        <v>20</v>
      </c>
      <c r="B33" t="s">
        <v>83</v>
      </c>
      <c r="C33" t="s">
        <v>84</v>
      </c>
      <c r="D33" t="s">
        <v>31</v>
      </c>
      <c r="E33" t="s">
        <v>36</v>
      </c>
      <c r="F33">
        <v>2250756096</v>
      </c>
      <c r="G33">
        <v>4.9099999999999998E-2</v>
      </c>
      <c r="H33">
        <v>3.3700000000000001E-2</v>
      </c>
      <c r="I33">
        <v>-0.59</v>
      </c>
      <c r="J33">
        <v>1.6000000000000001E-3</v>
      </c>
      <c r="K33">
        <v>5.48</v>
      </c>
      <c r="L33">
        <v>0.1686</v>
      </c>
      <c r="N33">
        <v>9362000</v>
      </c>
      <c r="O33">
        <v>7.89</v>
      </c>
      <c r="P33">
        <v>2024</v>
      </c>
      <c r="Q33">
        <v>4451446000</v>
      </c>
      <c r="R33">
        <v>218784000</v>
      </c>
      <c r="S33">
        <v>185875000</v>
      </c>
      <c r="T33">
        <v>89942000</v>
      </c>
      <c r="U33">
        <v>4629235000</v>
      </c>
      <c r="V33">
        <v>888637000</v>
      </c>
      <c r="W33">
        <v>1018409000</v>
      </c>
      <c r="X33">
        <v>-129772000</v>
      </c>
      <c r="Y33">
        <v>7256000</v>
      </c>
      <c r="Z33" s="1">
        <v>46083</v>
      </c>
      <c r="AA33">
        <v>35.299999999999997</v>
      </c>
      <c r="AB33">
        <v>78097009</v>
      </c>
      <c r="AC33">
        <v>13.411799999999999</v>
      </c>
      <c r="AD33">
        <v>2.5958000000000001</v>
      </c>
      <c r="AE33">
        <v>25</v>
      </c>
      <c r="AF33">
        <v>0.46010000000000001</v>
      </c>
      <c r="AG33">
        <v>13.411795011667717</v>
      </c>
      <c r="AH33">
        <v>2.5957749339833436</v>
      </c>
      <c r="AI33">
        <v>25</v>
      </c>
      <c r="AJ33">
        <v>13.64345048486209</v>
      </c>
      <c r="AK33">
        <v>10.287571741992101</v>
      </c>
    </row>
    <row r="34" spans="1:37" x14ac:dyDescent="0.35">
      <c r="A34">
        <v>21</v>
      </c>
      <c r="B34" t="s">
        <v>85</v>
      </c>
      <c r="C34" t="s">
        <v>86</v>
      </c>
      <c r="D34" t="s">
        <v>31</v>
      </c>
      <c r="E34" t="s">
        <v>39</v>
      </c>
      <c r="F34">
        <v>1303555328</v>
      </c>
      <c r="G34">
        <v>0.23810000000000001</v>
      </c>
      <c r="H34">
        <v>5.2400000000000002E-2</v>
      </c>
      <c r="I34">
        <v>0.82</v>
      </c>
      <c r="J34">
        <v>2.12E-2</v>
      </c>
      <c r="K34">
        <v>14</v>
      </c>
      <c r="L34">
        <v>8.4900000000000003E-2</v>
      </c>
      <c r="N34">
        <v>20280000</v>
      </c>
      <c r="O34">
        <v>16.27</v>
      </c>
      <c r="P34">
        <v>2024</v>
      </c>
      <c r="Q34">
        <v>347611000</v>
      </c>
      <c r="R34">
        <v>82763000</v>
      </c>
      <c r="S34">
        <v>62483000</v>
      </c>
      <c r="T34">
        <v>42797000</v>
      </c>
      <c r="U34">
        <v>430315000</v>
      </c>
      <c r="V34">
        <v>85993000</v>
      </c>
      <c r="W34">
        <v>18243000</v>
      </c>
      <c r="X34">
        <v>67750000</v>
      </c>
      <c r="Y34">
        <v>7382000</v>
      </c>
      <c r="Z34" s="1">
        <v>46083</v>
      </c>
      <c r="AA34">
        <v>691</v>
      </c>
      <c r="AB34">
        <v>198410249</v>
      </c>
      <c r="AC34">
        <v>14.3185</v>
      </c>
      <c r="AD34">
        <v>8.7384000000000004</v>
      </c>
      <c r="AE34">
        <v>11.7728</v>
      </c>
      <c r="AF34">
        <v>-0.13289999999999999</v>
      </c>
      <c r="AG34">
        <v>14.318544110070604</v>
      </c>
      <c r="AH34">
        <v>8.7383709120455002</v>
      </c>
      <c r="AI34">
        <v>11.772787484631811</v>
      </c>
      <c r="AJ34">
        <v>11.880765163031436</v>
      </c>
      <c r="AK34">
        <v>15.750460084820512</v>
      </c>
    </row>
    <row r="35" spans="1:37" x14ac:dyDescent="0.35">
      <c r="A35">
        <v>22</v>
      </c>
      <c r="B35" t="s">
        <v>87</v>
      </c>
      <c r="C35" t="s">
        <v>88</v>
      </c>
      <c r="D35" t="s">
        <v>35</v>
      </c>
      <c r="E35" t="s">
        <v>32</v>
      </c>
      <c r="F35">
        <v>2419016704</v>
      </c>
      <c r="G35">
        <v>0.1792</v>
      </c>
      <c r="H35">
        <v>0.20599999999999999</v>
      </c>
      <c r="I35">
        <v>1.34</v>
      </c>
      <c r="J35">
        <v>6.6699999999999995E-2</v>
      </c>
      <c r="K35">
        <v>13.73</v>
      </c>
      <c r="L35">
        <v>0.16209999999999999</v>
      </c>
      <c r="N35">
        <v>414206000</v>
      </c>
      <c r="O35">
        <v>11.63</v>
      </c>
      <c r="P35">
        <v>2024</v>
      </c>
      <c r="Q35">
        <v>4307349000</v>
      </c>
      <c r="R35">
        <v>771940000</v>
      </c>
      <c r="S35">
        <v>357734000</v>
      </c>
      <c r="T35">
        <v>213468000</v>
      </c>
      <c r="U35">
        <v>3782421000</v>
      </c>
      <c r="V35">
        <v>1248211000</v>
      </c>
      <c r="W35">
        <v>210622000</v>
      </c>
      <c r="X35">
        <v>1037589000</v>
      </c>
      <c r="Y35">
        <v>287190000</v>
      </c>
      <c r="Z35" s="1">
        <v>46083</v>
      </c>
      <c r="AA35">
        <v>36.22</v>
      </c>
      <c r="AB35">
        <v>69016167</v>
      </c>
      <c r="AC35">
        <v>21.766500000000001</v>
      </c>
      <c r="AD35">
        <v>6.8240999999999996</v>
      </c>
      <c r="AE35">
        <v>9.7026000000000003</v>
      </c>
      <c r="AF35">
        <v>-0.30059999999999998</v>
      </c>
      <c r="AG35">
        <v>21.766493923690021</v>
      </c>
      <c r="AH35">
        <v>6.8240910014218974</v>
      </c>
      <c r="AI35">
        <v>9.7026332653591094</v>
      </c>
      <c r="AJ35">
        <v>13.664614849510309</v>
      </c>
      <c r="AK35">
        <v>3.1336848770629842</v>
      </c>
    </row>
    <row r="36" spans="1:37" x14ac:dyDescent="0.35">
      <c r="A36">
        <v>27</v>
      </c>
      <c r="B36" t="s">
        <v>98</v>
      </c>
      <c r="C36" t="s">
        <v>99</v>
      </c>
      <c r="D36" t="s">
        <v>91</v>
      </c>
      <c r="E36" t="s">
        <v>43</v>
      </c>
      <c r="F36">
        <v>741217216</v>
      </c>
      <c r="G36">
        <v>0.14699999999999999</v>
      </c>
      <c r="H36">
        <v>-2.4904999999999999</v>
      </c>
      <c r="I36">
        <v>0.76</v>
      </c>
      <c r="J36">
        <v>4.6399999999999997E-2</v>
      </c>
      <c r="K36">
        <v>3.72</v>
      </c>
      <c r="L36">
        <v>-3.8600000000000002E-2</v>
      </c>
      <c r="N36">
        <v>568000000</v>
      </c>
      <c r="O36">
        <v>15.61</v>
      </c>
      <c r="P36">
        <v>2024</v>
      </c>
      <c r="Q36">
        <v>9577000000</v>
      </c>
      <c r="R36">
        <v>1408000000</v>
      </c>
      <c r="S36">
        <v>840000000</v>
      </c>
      <c r="T36">
        <v>248000000</v>
      </c>
      <c r="U36">
        <v>8246000000</v>
      </c>
      <c r="V36">
        <v>2811000000</v>
      </c>
      <c r="W36">
        <v>1739000000</v>
      </c>
      <c r="X36">
        <v>1072000000</v>
      </c>
      <c r="Y36">
        <v>444000000</v>
      </c>
      <c r="Z36" s="1">
        <v>46083</v>
      </c>
      <c r="AA36">
        <v>39.282499999999999</v>
      </c>
      <c r="AB36">
        <v>19378227</v>
      </c>
      <c r="AC36">
        <v>1</v>
      </c>
      <c r="AD36">
        <v>5.7775999999999996</v>
      </c>
      <c r="AE36">
        <v>12.090400000000001</v>
      </c>
      <c r="AF36">
        <v>-3.7663000000000002</v>
      </c>
      <c r="AG36">
        <v>1</v>
      </c>
      <c r="AH36">
        <v>5.7775746496038991</v>
      </c>
      <c r="AI36">
        <v>12.090367961452053</v>
      </c>
      <c r="AJ36">
        <v>5.7603827833167855</v>
      </c>
      <c r="AK36">
        <v>0.52643268181818181</v>
      </c>
    </row>
    <row r="37" spans="1:37" x14ac:dyDescent="0.35">
      <c r="A37">
        <v>23</v>
      </c>
      <c r="B37" t="s">
        <v>89</v>
      </c>
      <c r="C37" t="s">
        <v>90</v>
      </c>
      <c r="D37" t="s">
        <v>91</v>
      </c>
      <c r="E37" t="s">
        <v>32</v>
      </c>
      <c r="F37">
        <v>1029371776</v>
      </c>
      <c r="G37">
        <v>0.193</v>
      </c>
      <c r="H37">
        <v>2.52E-2</v>
      </c>
      <c r="I37">
        <v>-1.43</v>
      </c>
      <c r="J37">
        <v>1.7000000000000001E-2</v>
      </c>
      <c r="K37">
        <v>218.51</v>
      </c>
      <c r="L37">
        <v>0.20780000000000001</v>
      </c>
      <c r="N37">
        <v>7821000</v>
      </c>
      <c r="O37">
        <v>10.130000000000001</v>
      </c>
      <c r="P37">
        <v>2024</v>
      </c>
      <c r="Q37">
        <v>446147000</v>
      </c>
      <c r="R37">
        <v>86094000</v>
      </c>
      <c r="S37">
        <v>78273000</v>
      </c>
      <c r="T37">
        <v>110343000</v>
      </c>
      <c r="U37">
        <v>500873000</v>
      </c>
      <c r="V37">
        <v>13295000</v>
      </c>
      <c r="W37">
        <v>136239000</v>
      </c>
      <c r="X37">
        <v>-122944000</v>
      </c>
      <c r="Y37">
        <v>7564000</v>
      </c>
      <c r="Z37" s="1">
        <v>46083</v>
      </c>
      <c r="AA37">
        <v>53.25</v>
      </c>
      <c r="AB37">
        <v>19115538</v>
      </c>
      <c r="AC37">
        <v>12.999599999999999</v>
      </c>
      <c r="AD37">
        <v>7.2725999999999997</v>
      </c>
      <c r="AE37">
        <v>1</v>
      </c>
      <c r="AF37">
        <v>1.1249</v>
      </c>
      <c r="AG37">
        <v>12.999636330575498</v>
      </c>
      <c r="AH37">
        <v>7.2725980093438949</v>
      </c>
      <c r="AI37">
        <v>1</v>
      </c>
      <c r="AJ37">
        <v>7.6816339350333678</v>
      </c>
      <c r="AK37">
        <v>11.956370664622389</v>
      </c>
    </row>
    <row r="38" spans="1:37" x14ac:dyDescent="0.35">
      <c r="A38">
        <v>24</v>
      </c>
      <c r="B38" t="s">
        <v>92</v>
      </c>
      <c r="C38" t="s">
        <v>93</v>
      </c>
      <c r="D38" t="s">
        <v>35</v>
      </c>
      <c r="E38" t="s">
        <v>39</v>
      </c>
      <c r="F38">
        <v>715123648</v>
      </c>
      <c r="G38">
        <v>0.2989</v>
      </c>
      <c r="H38">
        <v>0.1341</v>
      </c>
      <c r="I38">
        <v>0.62</v>
      </c>
      <c r="J38">
        <v>9.5699999999999993E-2</v>
      </c>
      <c r="K38">
        <v>16.3</v>
      </c>
      <c r="L38">
        <v>0.35410000000000003</v>
      </c>
      <c r="N38">
        <v>43167000</v>
      </c>
      <c r="O38">
        <v>7.23</v>
      </c>
      <c r="P38">
        <v>2024</v>
      </c>
      <c r="Q38">
        <v>396718000</v>
      </c>
      <c r="R38">
        <v>98147000</v>
      </c>
      <c r="S38">
        <v>56485000</v>
      </c>
      <c r="T38">
        <v>33986000</v>
      </c>
      <c r="U38">
        <v>681933000</v>
      </c>
      <c r="V38">
        <v>153113000</v>
      </c>
      <c r="W38">
        <v>91085000</v>
      </c>
      <c r="X38">
        <v>62028000</v>
      </c>
      <c r="Y38">
        <v>39883000</v>
      </c>
      <c r="Z38" s="1">
        <v>46083</v>
      </c>
      <c r="AA38">
        <v>189.9</v>
      </c>
      <c r="AB38">
        <v>375519674</v>
      </c>
      <c r="AC38">
        <v>18.280100000000001</v>
      </c>
      <c r="AD38">
        <v>10.714399999999999</v>
      </c>
      <c r="AE38">
        <v>12.9229</v>
      </c>
      <c r="AF38">
        <v>0.1744</v>
      </c>
      <c r="AG38">
        <v>18.280116374215826</v>
      </c>
      <c r="AH38">
        <v>10.71440178752793</v>
      </c>
      <c r="AI38">
        <v>12.922873162005532</v>
      </c>
      <c r="AJ38">
        <v>14.403229034546369</v>
      </c>
      <c r="AK38">
        <v>7.2862507055742913</v>
      </c>
    </row>
    <row r="39" spans="1:37" x14ac:dyDescent="0.35">
      <c r="A39">
        <v>112</v>
      </c>
      <c r="B39" t="s">
        <v>277</v>
      </c>
      <c r="C39" t="s">
        <v>278</v>
      </c>
      <c r="D39" t="s">
        <v>31</v>
      </c>
      <c r="E39" t="s">
        <v>39</v>
      </c>
      <c r="F39">
        <v>6874880512</v>
      </c>
      <c r="G39">
        <v>0.1032</v>
      </c>
      <c r="H39">
        <v>2.63E-2</v>
      </c>
      <c r="I39">
        <v>0.76</v>
      </c>
      <c r="J39">
        <v>2.6599999999999999E-2</v>
      </c>
      <c r="L39">
        <v>5.7200000000000001E-2</v>
      </c>
      <c r="N39">
        <v>117700000</v>
      </c>
      <c r="O39">
        <v>14.75</v>
      </c>
      <c r="Z39" s="1">
        <v>46085</v>
      </c>
      <c r="AA39">
        <v>1380</v>
      </c>
      <c r="AB39">
        <v>498172502</v>
      </c>
      <c r="AC39">
        <v>13.053000000000001</v>
      </c>
      <c r="AD39">
        <v>4.3540999999999999</v>
      </c>
      <c r="AE39">
        <v>12.090400000000001</v>
      </c>
      <c r="AF39">
        <v>-0.29530000000000001</v>
      </c>
      <c r="AG39">
        <v>13.052974512834492</v>
      </c>
      <c r="AH39">
        <v>4.3540524070688598</v>
      </c>
      <c r="AI39">
        <v>12.090367961452053</v>
      </c>
      <c r="AJ39">
        <v>10.154515915690071</v>
      </c>
    </row>
    <row r="40" spans="1:37" x14ac:dyDescent="0.35">
      <c r="A40">
        <v>25</v>
      </c>
      <c r="B40" t="s">
        <v>94</v>
      </c>
      <c r="C40" t="s">
        <v>95</v>
      </c>
      <c r="D40" t="s">
        <v>42</v>
      </c>
      <c r="E40" t="s">
        <v>69</v>
      </c>
      <c r="F40">
        <v>2392254720</v>
      </c>
      <c r="G40">
        <v>0.30659999999999998</v>
      </c>
      <c r="H40">
        <v>5.3499999999999999E-2</v>
      </c>
      <c r="I40">
        <v>2.2000000000000002</v>
      </c>
      <c r="J40">
        <v>0.23119999999999999</v>
      </c>
      <c r="K40">
        <v>10.68</v>
      </c>
      <c r="L40">
        <v>2.2599999999999999E-2</v>
      </c>
      <c r="N40">
        <v>1601000000</v>
      </c>
      <c r="O40">
        <v>2.96</v>
      </c>
      <c r="P40">
        <v>2024</v>
      </c>
      <c r="Q40">
        <v>6376000000</v>
      </c>
      <c r="R40">
        <v>1955000000</v>
      </c>
      <c r="S40">
        <v>696000000</v>
      </c>
      <c r="T40">
        <v>447000000</v>
      </c>
      <c r="U40">
        <v>13327000000</v>
      </c>
      <c r="V40">
        <v>4801000000</v>
      </c>
      <c r="W40">
        <v>497000000</v>
      </c>
      <c r="X40">
        <v>4304000000</v>
      </c>
      <c r="Y40">
        <v>1474000000</v>
      </c>
      <c r="Z40" s="1">
        <v>46083</v>
      </c>
      <c r="AA40">
        <v>7.2949999999999999</v>
      </c>
      <c r="AB40">
        <v>322461674</v>
      </c>
      <c r="AC40">
        <v>14.3719</v>
      </c>
      <c r="AD40">
        <v>10.964700000000001</v>
      </c>
      <c r="AE40">
        <v>7.7553999999999998</v>
      </c>
      <c r="AF40">
        <v>-0.87719999999999998</v>
      </c>
      <c r="AG40">
        <v>14.371882292329598</v>
      </c>
      <c r="AH40">
        <v>10.964655697745275</v>
      </c>
      <c r="AI40">
        <v>7.7553944528557253</v>
      </c>
      <c r="AJ40">
        <v>11.36476796211214</v>
      </c>
      <c r="AK40">
        <v>1.2236597033248082</v>
      </c>
    </row>
    <row r="41" spans="1:37" x14ac:dyDescent="0.35">
      <c r="A41">
        <v>51</v>
      </c>
      <c r="B41" t="s">
        <v>149</v>
      </c>
      <c r="C41" t="s">
        <v>150</v>
      </c>
      <c r="D41" t="s">
        <v>106</v>
      </c>
      <c r="E41" t="s">
        <v>32</v>
      </c>
      <c r="F41">
        <v>3625971712</v>
      </c>
      <c r="G41">
        <v>0.1411</v>
      </c>
      <c r="H41">
        <v>-9.4100000000000003E-2</v>
      </c>
      <c r="I41">
        <v>1.0900000000000001</v>
      </c>
      <c r="J41">
        <v>0.1139</v>
      </c>
      <c r="K41">
        <v>10.61</v>
      </c>
      <c r="L41">
        <v>-1.2999999999999999E-3</v>
      </c>
      <c r="N41">
        <v>472700000</v>
      </c>
      <c r="O41">
        <v>8.5299999999999994</v>
      </c>
      <c r="P41">
        <v>2024</v>
      </c>
      <c r="Q41">
        <v>5721800000</v>
      </c>
      <c r="R41">
        <v>807200000</v>
      </c>
      <c r="S41">
        <v>334500000</v>
      </c>
      <c r="T41">
        <v>241000000</v>
      </c>
      <c r="U41">
        <v>9409900000</v>
      </c>
      <c r="V41">
        <v>1925200000</v>
      </c>
      <c r="W41">
        <v>1046700000</v>
      </c>
      <c r="X41">
        <v>878500000</v>
      </c>
      <c r="Y41">
        <v>651600000</v>
      </c>
      <c r="Z41" s="1">
        <v>46083</v>
      </c>
      <c r="AA41">
        <v>78.099999999999994</v>
      </c>
      <c r="AB41">
        <v>51762620</v>
      </c>
      <c r="AC41">
        <v>7.2149000000000001</v>
      </c>
      <c r="AD41">
        <v>5.5857999999999999</v>
      </c>
      <c r="AE41">
        <v>10.5693</v>
      </c>
      <c r="AF41">
        <v>-0.61639999999999995</v>
      </c>
      <c r="AG41">
        <v>7.2148680183046903</v>
      </c>
      <c r="AH41">
        <v>5.5858216534633351</v>
      </c>
      <c r="AI41">
        <v>10.569324625102466</v>
      </c>
      <c r="AJ41">
        <v>7.7324910908916173</v>
      </c>
      <c r="AK41">
        <v>4.4920363131813676</v>
      </c>
    </row>
    <row r="42" spans="1:37" x14ac:dyDescent="0.35">
      <c r="A42">
        <v>26</v>
      </c>
      <c r="B42" t="s">
        <v>96</v>
      </c>
      <c r="C42" t="s">
        <v>97</v>
      </c>
      <c r="D42" t="s">
        <v>42</v>
      </c>
      <c r="E42" t="s">
        <v>32</v>
      </c>
      <c r="F42">
        <v>1006776192</v>
      </c>
      <c r="G42">
        <v>3.9699999999999999E-2</v>
      </c>
      <c r="H42">
        <v>9.2399999999999996E-2</v>
      </c>
      <c r="I42">
        <v>12.28</v>
      </c>
      <c r="J42">
        <v>0.29770000000000002</v>
      </c>
      <c r="K42">
        <v>1.7</v>
      </c>
      <c r="L42">
        <v>-7.4200000000000002E-2</v>
      </c>
      <c r="N42">
        <v>227000000</v>
      </c>
      <c r="O42">
        <v>7.47</v>
      </c>
      <c r="Z42" s="1">
        <v>46083</v>
      </c>
      <c r="AA42">
        <v>4.6239999999999997</v>
      </c>
      <c r="AB42">
        <v>226700343</v>
      </c>
      <c r="AC42">
        <v>16.258099999999999</v>
      </c>
      <c r="AD42">
        <v>2.2902999999999998</v>
      </c>
      <c r="AE42">
        <v>3.7338</v>
      </c>
      <c r="AF42">
        <v>-7.1909999999999998</v>
      </c>
      <c r="AG42">
        <v>16.25811437403399</v>
      </c>
      <c r="AH42">
        <v>2.2902701604712572</v>
      </c>
      <c r="AI42">
        <v>3.7337925231940718</v>
      </c>
      <c r="AJ42">
        <v>8.3104645547131959</v>
      </c>
    </row>
    <row r="43" spans="1:37" x14ac:dyDescent="0.35">
      <c r="A43">
        <v>147</v>
      </c>
      <c r="B43" t="s">
        <v>346</v>
      </c>
      <c r="C43" t="s">
        <v>347</v>
      </c>
      <c r="D43" t="s">
        <v>62</v>
      </c>
      <c r="E43" t="s">
        <v>50</v>
      </c>
      <c r="F43">
        <v>17303830528</v>
      </c>
      <c r="G43">
        <v>0</v>
      </c>
      <c r="H43">
        <v>-0.2974</v>
      </c>
      <c r="I43">
        <v>0</v>
      </c>
      <c r="J43">
        <v>3.7600000000000001E-2</v>
      </c>
      <c r="L43">
        <v>0.1618</v>
      </c>
      <c r="N43">
        <v>292203000</v>
      </c>
      <c r="O43">
        <v>0</v>
      </c>
      <c r="P43">
        <v>2024</v>
      </c>
      <c r="Q43">
        <v>6826516000</v>
      </c>
      <c r="R43">
        <v>0</v>
      </c>
      <c r="S43">
        <v>0</v>
      </c>
      <c r="T43">
        <v>1920393000</v>
      </c>
      <c r="U43">
        <v>198209087000</v>
      </c>
      <c r="V43">
        <v>29389813000</v>
      </c>
      <c r="W43">
        <v>13808915000</v>
      </c>
      <c r="X43">
        <v>15580898000</v>
      </c>
      <c r="Y43">
        <v>256434000</v>
      </c>
      <c r="Z43" s="1">
        <v>46085</v>
      </c>
      <c r="AA43">
        <v>11.505000000000001</v>
      </c>
      <c r="AB43">
        <v>1503373604</v>
      </c>
      <c r="AC43">
        <v>1</v>
      </c>
      <c r="AD43">
        <v>1</v>
      </c>
      <c r="AE43">
        <v>19.4117</v>
      </c>
      <c r="AF43">
        <v>-0.41639999999999999</v>
      </c>
      <c r="AG43">
        <v>1</v>
      </c>
      <c r="AH43">
        <v>1</v>
      </c>
      <c r="AI43">
        <v>19.411656553748074</v>
      </c>
      <c r="AJ43">
        <v>6.523496966124422</v>
      </c>
      <c r="AK43" t="e">
        <v>#NUM!</v>
      </c>
    </row>
    <row r="44" spans="1:37" x14ac:dyDescent="0.35">
      <c r="A44">
        <v>47</v>
      </c>
      <c r="B44" t="s">
        <v>140</v>
      </c>
      <c r="C44" t="s">
        <v>141</v>
      </c>
      <c r="D44" t="s">
        <v>91</v>
      </c>
      <c r="E44" t="s">
        <v>32</v>
      </c>
      <c r="F44">
        <v>1575000064</v>
      </c>
      <c r="G44">
        <v>0.26650000000000001</v>
      </c>
      <c r="H44">
        <v>-0.22570000000000001</v>
      </c>
      <c r="I44">
        <v>3.26</v>
      </c>
      <c r="J44">
        <v>0.49540000000000001</v>
      </c>
      <c r="K44">
        <v>9.99</v>
      </c>
      <c r="L44">
        <v>1.8800000000000001E-2</v>
      </c>
      <c r="N44">
        <v>238500000</v>
      </c>
      <c r="O44">
        <v>9.19</v>
      </c>
      <c r="P44">
        <v>2024</v>
      </c>
      <c r="Q44">
        <v>1412800000</v>
      </c>
      <c r="R44">
        <v>376500000</v>
      </c>
      <c r="S44">
        <v>138000000</v>
      </c>
      <c r="T44">
        <v>63000000</v>
      </c>
      <c r="U44">
        <v>5084400000</v>
      </c>
      <c r="V44">
        <v>1523300000</v>
      </c>
      <c r="W44">
        <v>297100000</v>
      </c>
      <c r="X44">
        <v>1226200000</v>
      </c>
      <c r="Y44">
        <v>699900000</v>
      </c>
      <c r="Z44" s="1">
        <v>46083</v>
      </c>
      <c r="AA44">
        <v>55.5</v>
      </c>
      <c r="AB44">
        <v>30000000</v>
      </c>
      <c r="AC44">
        <v>1</v>
      </c>
      <c r="AD44">
        <v>9.6614000000000004</v>
      </c>
      <c r="AE44">
        <v>6.4370000000000003</v>
      </c>
      <c r="AF44">
        <v>-1.9521999999999999</v>
      </c>
      <c r="AG44">
        <v>1</v>
      </c>
      <c r="AH44">
        <v>9.6613853341458462</v>
      </c>
      <c r="AI44">
        <v>6.4370378772106243</v>
      </c>
      <c r="AJ44">
        <v>5.2295269634069408</v>
      </c>
      <c r="AK44">
        <v>4.183267102257636</v>
      </c>
    </row>
    <row r="45" spans="1:37" x14ac:dyDescent="0.35">
      <c r="A45">
        <v>28</v>
      </c>
      <c r="B45" t="s">
        <v>100</v>
      </c>
      <c r="C45" t="s">
        <v>101</v>
      </c>
      <c r="D45" t="s">
        <v>42</v>
      </c>
      <c r="E45" t="s">
        <v>39</v>
      </c>
      <c r="F45">
        <v>3314097920</v>
      </c>
      <c r="G45">
        <v>0.67849999999999999</v>
      </c>
      <c r="H45">
        <v>6.0999999999999999E-2</v>
      </c>
      <c r="I45">
        <v>-0.11</v>
      </c>
      <c r="J45">
        <v>2.3300000000000001E-2</v>
      </c>
      <c r="K45">
        <v>1763.66</v>
      </c>
      <c r="L45">
        <v>8.5500000000000007E-2</v>
      </c>
      <c r="N45">
        <v>5999000</v>
      </c>
      <c r="O45">
        <v>11.15</v>
      </c>
      <c r="P45">
        <v>2024</v>
      </c>
      <c r="Q45">
        <v>389882000</v>
      </c>
      <c r="R45">
        <v>264549000</v>
      </c>
      <c r="S45">
        <v>258550000</v>
      </c>
      <c r="T45">
        <v>192713000</v>
      </c>
      <c r="U45">
        <v>118498000</v>
      </c>
      <c r="V45">
        <v>6162000</v>
      </c>
      <c r="W45">
        <v>35661000</v>
      </c>
      <c r="X45">
        <v>-29499000</v>
      </c>
      <c r="Y45">
        <v>9078000</v>
      </c>
      <c r="Z45" s="1">
        <v>46083</v>
      </c>
      <c r="AA45">
        <v>441</v>
      </c>
      <c r="AB45">
        <v>759417456</v>
      </c>
      <c r="AC45">
        <v>14.7356</v>
      </c>
      <c r="AD45">
        <v>23.051600000000001</v>
      </c>
      <c r="AE45">
        <v>21.507200000000001</v>
      </c>
      <c r="AF45">
        <v>0.96560000000000001</v>
      </c>
      <c r="AG45">
        <v>14.73555171682273</v>
      </c>
      <c r="AH45">
        <v>23.051594556164943</v>
      </c>
      <c r="AI45">
        <v>21.507164347166924</v>
      </c>
      <c r="AJ45">
        <v>19.261848357728653</v>
      </c>
      <c r="AK45">
        <v>12.527350018333088</v>
      </c>
    </row>
    <row r="46" spans="1:37" x14ac:dyDescent="0.35">
      <c r="A46">
        <v>53</v>
      </c>
      <c r="B46" t="s">
        <v>153</v>
      </c>
      <c r="C46" t="s">
        <v>154</v>
      </c>
      <c r="D46" t="s">
        <v>35</v>
      </c>
      <c r="E46" t="s">
        <v>43</v>
      </c>
      <c r="F46">
        <v>571827584</v>
      </c>
      <c r="G46">
        <v>0.12130000000000001</v>
      </c>
      <c r="H46">
        <v>0.18049999999999999</v>
      </c>
      <c r="I46">
        <v>-0.35</v>
      </c>
      <c r="J46">
        <v>6.25E-2</v>
      </c>
      <c r="K46">
        <v>20.12</v>
      </c>
      <c r="L46">
        <v>-3.4500000000000003E-2</v>
      </c>
      <c r="N46">
        <v>56869000</v>
      </c>
      <c r="O46">
        <v>7.59</v>
      </c>
      <c r="P46">
        <v>2024</v>
      </c>
      <c r="Q46">
        <v>1034380000</v>
      </c>
      <c r="R46">
        <v>125461000</v>
      </c>
      <c r="S46">
        <v>63627000</v>
      </c>
      <c r="T46">
        <v>92851000</v>
      </c>
      <c r="U46">
        <v>1652310000</v>
      </c>
      <c r="V46">
        <v>411943000</v>
      </c>
      <c r="W46">
        <v>455962000</v>
      </c>
      <c r="X46">
        <v>-44019000</v>
      </c>
      <c r="Y46">
        <v>64643000</v>
      </c>
      <c r="Z46" s="1">
        <v>46083</v>
      </c>
      <c r="AA46">
        <v>7.81</v>
      </c>
      <c r="AB46">
        <v>80122731</v>
      </c>
      <c r="AC46">
        <v>20.53</v>
      </c>
      <c r="AD46">
        <v>4.9423000000000004</v>
      </c>
      <c r="AE46">
        <v>25</v>
      </c>
      <c r="AF46">
        <v>0.60829999999999995</v>
      </c>
      <c r="AG46">
        <v>20.530017880413357</v>
      </c>
      <c r="AH46">
        <v>4.9423115986187289</v>
      </c>
      <c r="AI46">
        <v>25</v>
      </c>
      <c r="AJ46">
        <v>17.194700631750962</v>
      </c>
      <c r="AK46">
        <v>4.5578114633232634</v>
      </c>
    </row>
    <row r="47" spans="1:37" x14ac:dyDescent="0.35">
      <c r="A47">
        <v>29</v>
      </c>
      <c r="B47" t="s">
        <v>102</v>
      </c>
      <c r="C47" t="s">
        <v>103</v>
      </c>
      <c r="D47" t="s">
        <v>35</v>
      </c>
      <c r="E47" t="s">
        <v>36</v>
      </c>
      <c r="F47">
        <v>1686660352</v>
      </c>
      <c r="G47">
        <v>0.28349999999999997</v>
      </c>
      <c r="H47">
        <v>0.20050000000000001</v>
      </c>
      <c r="I47">
        <v>3.99</v>
      </c>
      <c r="J47">
        <v>3.95E-2</v>
      </c>
      <c r="K47">
        <v>5.57</v>
      </c>
      <c r="L47">
        <v>9.0300000000000005E-2</v>
      </c>
      <c r="N47">
        <v>260103000</v>
      </c>
      <c r="O47">
        <v>11.47</v>
      </c>
      <c r="P47">
        <v>2024</v>
      </c>
      <c r="Q47">
        <v>2005385000</v>
      </c>
      <c r="R47">
        <v>568586000</v>
      </c>
      <c r="S47">
        <v>326463000</v>
      </c>
      <c r="T47">
        <v>140626000</v>
      </c>
      <c r="U47">
        <v>4581787000</v>
      </c>
      <c r="V47">
        <v>2440937000</v>
      </c>
      <c r="W47">
        <v>171272000</v>
      </c>
      <c r="X47">
        <v>2269665000</v>
      </c>
      <c r="Y47">
        <v>79215000</v>
      </c>
      <c r="Z47" s="1">
        <v>46083</v>
      </c>
      <c r="AA47">
        <v>7.8849999999999998</v>
      </c>
      <c r="AB47">
        <v>220190651</v>
      </c>
      <c r="AC47">
        <v>21.4998</v>
      </c>
      <c r="AD47">
        <v>10.213900000000001</v>
      </c>
      <c r="AE47">
        <v>5.8548</v>
      </c>
      <c r="AF47">
        <v>-1.7730999999999999</v>
      </c>
      <c r="AG47">
        <v>21.499803012395056</v>
      </c>
      <c r="AH47">
        <v>10.213893967093234</v>
      </c>
      <c r="AI47">
        <v>5.8548015251277867</v>
      </c>
      <c r="AJ47">
        <v>13.420529852624329</v>
      </c>
      <c r="AK47">
        <v>2.9664120326564496</v>
      </c>
    </row>
    <row r="48" spans="1:37" x14ac:dyDescent="0.35">
      <c r="A48">
        <v>30</v>
      </c>
      <c r="B48" t="s">
        <v>104</v>
      </c>
      <c r="C48" t="s">
        <v>105</v>
      </c>
      <c r="D48" t="s">
        <v>106</v>
      </c>
      <c r="E48" t="s">
        <v>69</v>
      </c>
      <c r="F48">
        <v>2713404928</v>
      </c>
      <c r="G48">
        <v>0.14449999999999999</v>
      </c>
      <c r="H48">
        <v>0.17030000000000001</v>
      </c>
      <c r="I48">
        <v>2.38</v>
      </c>
      <c r="J48">
        <v>4.6399999999999997E-2</v>
      </c>
      <c r="K48">
        <v>5.49</v>
      </c>
      <c r="L48">
        <v>-0.15609999999999999</v>
      </c>
      <c r="N48">
        <v>404000000</v>
      </c>
      <c r="O48">
        <v>5.58</v>
      </c>
      <c r="P48">
        <v>2024</v>
      </c>
      <c r="Q48">
        <v>5130000000</v>
      </c>
      <c r="R48">
        <v>805000000</v>
      </c>
      <c r="S48">
        <v>443000000</v>
      </c>
      <c r="T48">
        <v>223000000</v>
      </c>
      <c r="U48">
        <v>6694000000</v>
      </c>
      <c r="V48">
        <v>1881000000</v>
      </c>
      <c r="W48">
        <v>539000000</v>
      </c>
      <c r="X48">
        <v>1342000000</v>
      </c>
      <c r="Y48">
        <v>285000000</v>
      </c>
      <c r="Z48" s="1">
        <v>46083</v>
      </c>
      <c r="AA48">
        <v>26.72</v>
      </c>
      <c r="AB48">
        <v>104465072</v>
      </c>
      <c r="AC48">
        <v>20.035399999999999</v>
      </c>
      <c r="AD48">
        <v>5.6962999999999999</v>
      </c>
      <c r="AE48">
        <v>7.4732000000000003</v>
      </c>
      <c r="AF48">
        <v>-1.0162</v>
      </c>
      <c r="AG48">
        <v>20.035427463102693</v>
      </c>
      <c r="AH48">
        <v>5.6963233800528128</v>
      </c>
      <c r="AI48">
        <v>7.4732364138346625</v>
      </c>
      <c r="AJ48">
        <v>11.96503892340732</v>
      </c>
      <c r="AK48">
        <v>3.3706893515527949</v>
      </c>
    </row>
    <row r="49" spans="1:37" x14ac:dyDescent="0.35">
      <c r="A49">
        <v>141</v>
      </c>
      <c r="B49" t="s">
        <v>334</v>
      </c>
      <c r="C49" t="s">
        <v>335</v>
      </c>
      <c r="D49" t="s">
        <v>91</v>
      </c>
      <c r="E49" t="s">
        <v>109</v>
      </c>
      <c r="F49">
        <v>14430826496</v>
      </c>
      <c r="G49">
        <v>0.34970000000000001</v>
      </c>
      <c r="H49">
        <v>9.4000000000000004E-3</v>
      </c>
      <c r="I49">
        <v>0.7</v>
      </c>
      <c r="J49">
        <v>7.0699999999999999E-2</v>
      </c>
      <c r="L49">
        <v>-5.8799999999999998E-2</v>
      </c>
      <c r="N49">
        <v>33723000</v>
      </c>
      <c r="O49">
        <v>69.11</v>
      </c>
      <c r="P49">
        <v>2024</v>
      </c>
      <c r="Q49">
        <v>607473000</v>
      </c>
      <c r="R49">
        <v>224192000</v>
      </c>
      <c r="S49">
        <v>195591000</v>
      </c>
      <c r="T49">
        <v>181992000</v>
      </c>
      <c r="U49">
        <v>1234476000</v>
      </c>
      <c r="V49">
        <v>544709000</v>
      </c>
      <c r="W49">
        <v>342319000</v>
      </c>
      <c r="X49">
        <v>202390000</v>
      </c>
      <c r="Y49">
        <v>31476000</v>
      </c>
      <c r="Z49" s="1">
        <v>46085</v>
      </c>
      <c r="AA49">
        <v>183.2</v>
      </c>
      <c r="AB49">
        <v>78792393</v>
      </c>
      <c r="AC49">
        <v>12.233499999999999</v>
      </c>
      <c r="AD49">
        <v>12.365399999999999</v>
      </c>
      <c r="AE49">
        <v>12.430400000000001</v>
      </c>
      <c r="AF49">
        <v>1.2800000000000001E-2</v>
      </c>
      <c r="AG49">
        <v>12.233506076309961</v>
      </c>
      <c r="AH49">
        <v>12.365427584806012</v>
      </c>
      <c r="AI49">
        <v>12.430365883694904</v>
      </c>
      <c r="AJ49">
        <v>12.332140471074258</v>
      </c>
      <c r="AK49">
        <v>64.368159862974593</v>
      </c>
    </row>
    <row r="50" spans="1:37" x14ac:dyDescent="0.35">
      <c r="A50">
        <v>80</v>
      </c>
      <c r="B50" t="s">
        <v>211</v>
      </c>
      <c r="C50" t="s">
        <v>212</v>
      </c>
      <c r="D50" t="s">
        <v>62</v>
      </c>
      <c r="E50" t="s">
        <v>36</v>
      </c>
      <c r="F50">
        <v>11781907456</v>
      </c>
      <c r="G50">
        <v>0</v>
      </c>
      <c r="H50">
        <v>0.152</v>
      </c>
      <c r="I50">
        <v>0</v>
      </c>
      <c r="J50">
        <v>4.8899999999999999E-2</v>
      </c>
      <c r="L50">
        <v>0.11600000000000001</v>
      </c>
      <c r="N50">
        <v>87453000</v>
      </c>
      <c r="O50">
        <v>0</v>
      </c>
      <c r="Z50" s="1">
        <v>46085</v>
      </c>
      <c r="AA50">
        <v>13.1</v>
      </c>
      <c r="AB50">
        <v>898696272</v>
      </c>
      <c r="AC50">
        <v>19.148099999999999</v>
      </c>
      <c r="AD50">
        <v>1</v>
      </c>
      <c r="AE50">
        <v>19.4117</v>
      </c>
      <c r="AF50">
        <v>0.21279999999999999</v>
      </c>
      <c r="AG50">
        <v>19.14807406733944</v>
      </c>
      <c r="AH50">
        <v>1</v>
      </c>
      <c r="AI50">
        <v>19.411656553748074</v>
      </c>
      <c r="AJ50">
        <v>13.782726593060197</v>
      </c>
    </row>
    <row r="51" spans="1:37" x14ac:dyDescent="0.35">
      <c r="A51">
        <v>33</v>
      </c>
      <c r="B51" t="s">
        <v>112</v>
      </c>
      <c r="C51" t="s">
        <v>113</v>
      </c>
      <c r="D51" t="s">
        <v>46</v>
      </c>
      <c r="E51" t="s">
        <v>36</v>
      </c>
      <c r="F51">
        <v>3197181184</v>
      </c>
      <c r="G51">
        <v>0.94530000000000003</v>
      </c>
      <c r="H51">
        <v>0.112</v>
      </c>
      <c r="I51">
        <v>9.39</v>
      </c>
      <c r="J51">
        <v>8.3999999999999995E-3</v>
      </c>
      <c r="K51">
        <v>4.24</v>
      </c>
      <c r="L51">
        <v>6.0400000000000002E-2</v>
      </c>
      <c r="N51">
        <v>6207000</v>
      </c>
      <c r="O51">
        <v>28.28</v>
      </c>
      <c r="P51">
        <v>2024</v>
      </c>
      <c r="Q51">
        <v>502412000</v>
      </c>
      <c r="R51">
        <v>474924000</v>
      </c>
      <c r="S51">
        <v>467592000</v>
      </c>
      <c r="T51">
        <v>307395000</v>
      </c>
      <c r="U51">
        <v>12236502000</v>
      </c>
      <c r="V51">
        <v>4999588000</v>
      </c>
      <c r="W51">
        <v>541256000</v>
      </c>
      <c r="X51">
        <v>4458332000</v>
      </c>
      <c r="Y51">
        <v>4235000</v>
      </c>
      <c r="Z51" s="1">
        <v>46083</v>
      </c>
      <c r="AA51">
        <v>5.55</v>
      </c>
      <c r="AB51">
        <v>613655183</v>
      </c>
      <c r="AC51">
        <v>17.208500000000001</v>
      </c>
      <c r="AD51">
        <v>25</v>
      </c>
      <c r="AE51">
        <v>4.0888999999999998</v>
      </c>
      <c r="AF51">
        <v>-4.3428000000000004</v>
      </c>
      <c r="AG51">
        <v>17.208503803376054</v>
      </c>
      <c r="AH51">
        <v>25</v>
      </c>
      <c r="AI51">
        <v>4.0889089989482974</v>
      </c>
      <c r="AJ51">
        <v>15.61007422103491</v>
      </c>
      <c r="AK51">
        <v>6.7319848733692131</v>
      </c>
    </row>
    <row r="52" spans="1:37" x14ac:dyDescent="0.35">
      <c r="A52">
        <v>34</v>
      </c>
      <c r="B52" t="s">
        <v>114</v>
      </c>
      <c r="C52" t="s">
        <v>115</v>
      </c>
      <c r="D52" t="s">
        <v>42</v>
      </c>
      <c r="E52" t="s">
        <v>43</v>
      </c>
      <c r="F52">
        <v>1497814272</v>
      </c>
      <c r="G52">
        <v>0.29239999999999999</v>
      </c>
      <c r="H52">
        <v>6.5600000000000006E-2</v>
      </c>
      <c r="I52">
        <v>-0.69</v>
      </c>
      <c r="J52">
        <v>0.156</v>
      </c>
      <c r="K52">
        <v>55.05</v>
      </c>
      <c r="L52">
        <v>-2.7799999999999998E-2</v>
      </c>
      <c r="N52">
        <v>423500000</v>
      </c>
      <c r="O52">
        <v>3.67</v>
      </c>
      <c r="P52">
        <v>2024</v>
      </c>
      <c r="Q52">
        <v>2356100000</v>
      </c>
      <c r="R52">
        <v>716400000</v>
      </c>
      <c r="S52">
        <v>291600000</v>
      </c>
      <c r="T52">
        <v>205500000</v>
      </c>
      <c r="U52">
        <v>3884200000</v>
      </c>
      <c r="V52">
        <v>271000000</v>
      </c>
      <c r="W52">
        <v>708300000</v>
      </c>
      <c r="X52">
        <v>-437300000</v>
      </c>
      <c r="Y52">
        <v>321300000</v>
      </c>
      <c r="Z52" s="1">
        <v>46083</v>
      </c>
      <c r="AA52">
        <v>7.23</v>
      </c>
      <c r="AB52">
        <v>210367171</v>
      </c>
      <c r="AC52">
        <v>14.958600000000001</v>
      </c>
      <c r="AD52">
        <v>10.5031</v>
      </c>
      <c r="AE52">
        <v>25</v>
      </c>
      <c r="AF52">
        <v>0.85670000000000002</v>
      </c>
      <c r="AG52">
        <v>14.958602297178521</v>
      </c>
      <c r="AH52">
        <v>10.503148486695103</v>
      </c>
      <c r="AI52">
        <v>25</v>
      </c>
      <c r="AJ52">
        <v>16.634385464879941</v>
      </c>
      <c r="AK52">
        <v>2.0907513567839198</v>
      </c>
    </row>
    <row r="53" spans="1:37" x14ac:dyDescent="0.35">
      <c r="A53">
        <v>58</v>
      </c>
      <c r="B53" t="s">
        <v>163</v>
      </c>
      <c r="C53" t="s">
        <v>164</v>
      </c>
      <c r="D53" t="s">
        <v>31</v>
      </c>
      <c r="E53" t="s">
        <v>82</v>
      </c>
      <c r="F53">
        <v>3847098112</v>
      </c>
      <c r="G53">
        <v>4.02E-2</v>
      </c>
      <c r="H53">
        <v>7.3300000000000004E-2</v>
      </c>
      <c r="I53">
        <v>0.48</v>
      </c>
      <c r="J53">
        <v>3.5000000000000001E-3</v>
      </c>
      <c r="K53">
        <v>16.239999999999998</v>
      </c>
      <c r="L53">
        <v>-7.3000000000000001E-3</v>
      </c>
      <c r="N53">
        <v>121700000</v>
      </c>
      <c r="O53">
        <v>10.76</v>
      </c>
      <c r="P53">
        <v>2024</v>
      </c>
      <c r="Q53">
        <v>11093600000</v>
      </c>
      <c r="R53">
        <v>472000000</v>
      </c>
      <c r="S53">
        <v>345400000</v>
      </c>
      <c r="T53">
        <v>214800000</v>
      </c>
      <c r="U53">
        <v>5848300000</v>
      </c>
      <c r="V53">
        <v>839800000</v>
      </c>
      <c r="W53">
        <v>609100000</v>
      </c>
      <c r="X53">
        <v>230700000</v>
      </c>
      <c r="Y53">
        <v>41600000</v>
      </c>
      <c r="Z53" s="1">
        <v>46083</v>
      </c>
      <c r="AA53">
        <v>60.3</v>
      </c>
      <c r="AB53">
        <v>64984764</v>
      </c>
      <c r="AC53">
        <v>15.332000000000001</v>
      </c>
      <c r="AD53">
        <v>2.3065000000000002</v>
      </c>
      <c r="AE53">
        <v>13.9129</v>
      </c>
      <c r="AF53">
        <v>-0.1371</v>
      </c>
      <c r="AG53">
        <v>15.331969572991472</v>
      </c>
      <c r="AH53">
        <v>2.3065204143814748</v>
      </c>
      <c r="AI53">
        <v>13.912879346447507</v>
      </c>
      <c r="AJ53">
        <v>10.998607757445285</v>
      </c>
      <c r="AK53">
        <v>8.1506315932203393</v>
      </c>
    </row>
    <row r="54" spans="1:37" x14ac:dyDescent="0.35">
      <c r="A54">
        <v>125</v>
      </c>
      <c r="B54" t="s">
        <v>303</v>
      </c>
      <c r="C54" t="s">
        <v>304</v>
      </c>
      <c r="D54" t="s">
        <v>106</v>
      </c>
      <c r="E54" t="s">
        <v>32</v>
      </c>
      <c r="F54">
        <v>6992583680</v>
      </c>
      <c r="G54">
        <v>8.2000000000000003E-2</v>
      </c>
      <c r="H54">
        <v>8.0699999999999994E-2</v>
      </c>
      <c r="I54">
        <v>1.96</v>
      </c>
      <c r="J54">
        <v>2.1100000000000001E-2</v>
      </c>
      <c r="L54">
        <v>6.0699999999999997E-2</v>
      </c>
      <c r="N54">
        <v>444100000</v>
      </c>
      <c r="O54">
        <v>9.85</v>
      </c>
      <c r="P54">
        <v>2024</v>
      </c>
      <c r="Q54">
        <v>16237400000</v>
      </c>
      <c r="R54">
        <v>1332100000</v>
      </c>
      <c r="S54">
        <v>888000000</v>
      </c>
      <c r="T54">
        <v>536200000</v>
      </c>
      <c r="U54">
        <v>11668000000</v>
      </c>
      <c r="V54">
        <v>3375900000</v>
      </c>
      <c r="W54">
        <v>763300000</v>
      </c>
      <c r="X54">
        <v>2612600000</v>
      </c>
      <c r="Y54">
        <v>342200000</v>
      </c>
      <c r="Z54" s="1">
        <v>46085</v>
      </c>
      <c r="AA54">
        <v>48.43</v>
      </c>
      <c r="AB54">
        <v>144385372</v>
      </c>
      <c r="AC54">
        <v>15.690799999999999</v>
      </c>
      <c r="AD54">
        <v>3.665</v>
      </c>
      <c r="AE54">
        <v>8.1850000000000005</v>
      </c>
      <c r="AF54">
        <v>-0.96460000000000001</v>
      </c>
      <c r="AG54">
        <v>15.690790071824701</v>
      </c>
      <c r="AH54">
        <v>3.665041641275645</v>
      </c>
      <c r="AI54">
        <v>8.1849864221760811</v>
      </c>
      <c r="AJ54">
        <v>9.8313244477653985</v>
      </c>
      <c r="AK54">
        <v>5.2492933563546282</v>
      </c>
    </row>
    <row r="55" spans="1:37" x14ac:dyDescent="0.35">
      <c r="A55">
        <v>36</v>
      </c>
      <c r="B55" t="s">
        <v>118</v>
      </c>
      <c r="C55" t="s">
        <v>119</v>
      </c>
      <c r="D55" t="s">
        <v>31</v>
      </c>
      <c r="E55" t="s">
        <v>36</v>
      </c>
      <c r="F55">
        <v>3275656448</v>
      </c>
      <c r="G55">
        <v>0.27929999999999999</v>
      </c>
      <c r="H55">
        <v>0.33689999999999998</v>
      </c>
      <c r="I55">
        <v>5.62</v>
      </c>
      <c r="J55">
        <v>7.2800000000000004E-2</v>
      </c>
      <c r="K55">
        <v>1.79</v>
      </c>
      <c r="L55">
        <v>-2.0899999999999998E-2</v>
      </c>
      <c r="N55">
        <v>184480000</v>
      </c>
      <c r="O55">
        <v>0</v>
      </c>
      <c r="P55">
        <v>2024</v>
      </c>
      <c r="Q55">
        <v>4571004000</v>
      </c>
      <c r="R55">
        <v>1341614000</v>
      </c>
      <c r="S55">
        <v>1178775000</v>
      </c>
      <c r="T55">
        <v>113373000</v>
      </c>
      <c r="U55">
        <v>17968421000</v>
      </c>
      <c r="V55">
        <v>10342908000</v>
      </c>
      <c r="W55">
        <v>1726932000</v>
      </c>
      <c r="X55">
        <v>8615976000</v>
      </c>
      <c r="Y55">
        <v>332546000</v>
      </c>
      <c r="Z55" s="1">
        <v>46080</v>
      </c>
      <c r="AA55">
        <v>4.5359999999999996</v>
      </c>
      <c r="AB55">
        <v>799649302</v>
      </c>
      <c r="AC55">
        <v>25</v>
      </c>
      <c r="AD55">
        <v>10.077400000000001</v>
      </c>
      <c r="AE55">
        <v>5.0182000000000002</v>
      </c>
      <c r="AF55">
        <v>-2.5651999999999999</v>
      </c>
      <c r="AG55">
        <v>25</v>
      </c>
      <c r="AH55">
        <v>10.077391834247409</v>
      </c>
      <c r="AI55">
        <v>5.0182057419897657</v>
      </c>
      <c r="AJ55">
        <v>14.528679272871154</v>
      </c>
      <c r="AK55">
        <v>2.4415789101783374</v>
      </c>
    </row>
    <row r="56" spans="1:37" x14ac:dyDescent="0.35">
      <c r="A56">
        <v>37</v>
      </c>
      <c r="B56" t="s">
        <v>120</v>
      </c>
      <c r="C56" t="s">
        <v>121</v>
      </c>
      <c r="D56" t="s">
        <v>35</v>
      </c>
      <c r="E56" t="s">
        <v>39</v>
      </c>
      <c r="F56">
        <v>721620096</v>
      </c>
      <c r="G56">
        <v>0.26800000000000002</v>
      </c>
      <c r="H56">
        <v>0.1178</v>
      </c>
      <c r="I56">
        <v>2.78</v>
      </c>
      <c r="J56">
        <v>2.7799999999999998E-2</v>
      </c>
      <c r="K56">
        <v>5.65</v>
      </c>
      <c r="L56">
        <v>6.0100000000000001E-2</v>
      </c>
      <c r="N56">
        <v>21700000</v>
      </c>
      <c r="O56">
        <v>10.92</v>
      </c>
      <c r="P56">
        <v>2024</v>
      </c>
      <c r="Q56">
        <v>664500000</v>
      </c>
      <c r="R56">
        <v>178100000</v>
      </c>
      <c r="S56">
        <v>156400000</v>
      </c>
      <c r="T56">
        <v>90200000</v>
      </c>
      <c r="U56">
        <v>602900000</v>
      </c>
      <c r="V56">
        <v>547400000</v>
      </c>
      <c r="W56">
        <v>52200000</v>
      </c>
      <c r="X56">
        <v>495200000</v>
      </c>
      <c r="Y56">
        <v>18500000</v>
      </c>
      <c r="Z56" s="1">
        <v>46083</v>
      </c>
      <c r="AA56">
        <v>195.9</v>
      </c>
      <c r="AB56">
        <v>381607649</v>
      </c>
      <c r="AC56">
        <v>17.489699999999999</v>
      </c>
      <c r="AD56">
        <v>9.7101000000000006</v>
      </c>
      <c r="AE56">
        <v>6.9424000000000001</v>
      </c>
      <c r="AF56">
        <v>-1.1815</v>
      </c>
      <c r="AG56">
        <v>17.489741491650747</v>
      </c>
      <c r="AH56">
        <v>9.7101360958765</v>
      </c>
      <c r="AI56">
        <v>6.9424276396621751</v>
      </c>
      <c r="AJ56">
        <v>11.991665717321901</v>
      </c>
      <c r="AK56">
        <v>4.0517692083099384</v>
      </c>
    </row>
    <row r="57" spans="1:37" x14ac:dyDescent="0.35">
      <c r="A57">
        <v>133</v>
      </c>
      <c r="B57" t="s">
        <v>318</v>
      </c>
      <c r="C57" t="s">
        <v>319</v>
      </c>
      <c r="D57" t="s">
        <v>42</v>
      </c>
      <c r="E57" t="s">
        <v>43</v>
      </c>
      <c r="F57">
        <v>13052399616</v>
      </c>
      <c r="G57">
        <v>0.11700000000000001</v>
      </c>
      <c r="H57">
        <v>7.9000000000000008E-3</v>
      </c>
      <c r="I57">
        <v>-13.08</v>
      </c>
      <c r="J57">
        <v>1.34E-2</v>
      </c>
      <c r="L57">
        <v>-0.32050000000000001</v>
      </c>
      <c r="N57">
        <v>41100000</v>
      </c>
      <c r="O57">
        <v>15.6</v>
      </c>
      <c r="P57">
        <v>2024</v>
      </c>
      <c r="Q57">
        <v>3130300000</v>
      </c>
      <c r="R57">
        <v>366300000</v>
      </c>
      <c r="S57">
        <v>243100000</v>
      </c>
      <c r="T57">
        <v>1822300000</v>
      </c>
      <c r="U57">
        <v>27669900000</v>
      </c>
      <c r="V57">
        <v>395800000</v>
      </c>
      <c r="W57">
        <v>5186700000</v>
      </c>
      <c r="X57">
        <v>-4790900000</v>
      </c>
      <c r="Y57">
        <v>42100000</v>
      </c>
      <c r="Z57" s="1">
        <v>46085</v>
      </c>
      <c r="AA57">
        <v>4.67</v>
      </c>
      <c r="AB57">
        <v>2793749964</v>
      </c>
      <c r="AC57">
        <v>12.1608</v>
      </c>
      <c r="AD57">
        <v>4.8026</v>
      </c>
      <c r="AE57">
        <v>1.0536000000000001</v>
      </c>
      <c r="AF57">
        <v>7.9995000000000003</v>
      </c>
      <c r="AG57">
        <v>12.160772191411333</v>
      </c>
      <c r="AH57">
        <v>4.8025594149908599</v>
      </c>
      <c r="AI57">
        <v>1.0535700661295411</v>
      </c>
      <c r="AJ57">
        <v>6.6211477209006535</v>
      </c>
      <c r="AK57">
        <v>35.633086584766588</v>
      </c>
    </row>
    <row r="58" spans="1:37" x14ac:dyDescent="0.35">
      <c r="A58">
        <v>38</v>
      </c>
      <c r="B58" t="s">
        <v>122</v>
      </c>
      <c r="C58" t="s">
        <v>123</v>
      </c>
      <c r="D58" t="s">
        <v>46</v>
      </c>
      <c r="E58" t="s">
        <v>39</v>
      </c>
      <c r="F58">
        <v>1893225088</v>
      </c>
      <c r="G58">
        <v>0.69630000000000003</v>
      </c>
      <c r="H58">
        <v>-4.0599999999999997E-2</v>
      </c>
      <c r="I58">
        <v>9.65</v>
      </c>
      <c r="J58">
        <v>0.64139999999999997</v>
      </c>
      <c r="K58">
        <v>4.2</v>
      </c>
      <c r="L58">
        <v>0.19159999999999999</v>
      </c>
      <c r="N58">
        <v>800000</v>
      </c>
      <c r="O58">
        <v>20.23</v>
      </c>
      <c r="P58">
        <v>2024</v>
      </c>
      <c r="Q58">
        <v>220600000</v>
      </c>
      <c r="R58">
        <v>153600000</v>
      </c>
      <c r="S58">
        <v>152600000</v>
      </c>
      <c r="T58">
        <v>115900000</v>
      </c>
      <c r="U58">
        <v>5214000000</v>
      </c>
      <c r="V58">
        <v>1498100000</v>
      </c>
      <c r="W58">
        <v>15400000</v>
      </c>
      <c r="X58">
        <v>1482700000</v>
      </c>
      <c r="Y58">
        <v>141500000</v>
      </c>
      <c r="Z58" s="1">
        <v>46083</v>
      </c>
      <c r="AA58">
        <v>1796</v>
      </c>
      <c r="AB58">
        <v>112290929</v>
      </c>
      <c r="AC58">
        <v>9.8089999999999993</v>
      </c>
      <c r="AD58">
        <v>23.630099999999999</v>
      </c>
      <c r="AE58">
        <v>4.0491000000000001</v>
      </c>
      <c r="AF58">
        <v>-5.0113000000000003</v>
      </c>
      <c r="AG58">
        <v>9.8090432463557224</v>
      </c>
      <c r="AH58">
        <v>23.630103595368681</v>
      </c>
      <c r="AI58">
        <v>4.0490712496270449</v>
      </c>
      <c r="AJ58">
        <v>12.227369752041007</v>
      </c>
      <c r="AK58">
        <v>12.325684166666667</v>
      </c>
    </row>
    <row r="59" spans="1:37" x14ac:dyDescent="0.35">
      <c r="A59">
        <v>40</v>
      </c>
      <c r="B59" t="s">
        <v>126</v>
      </c>
      <c r="C59" t="s">
        <v>127</v>
      </c>
      <c r="D59" t="s">
        <v>106</v>
      </c>
      <c r="E59" t="s">
        <v>109</v>
      </c>
      <c r="F59">
        <v>749316864</v>
      </c>
      <c r="G59">
        <v>3.9899999999999998E-2</v>
      </c>
      <c r="H59">
        <v>-1.09E-2</v>
      </c>
      <c r="I59">
        <v>-32.11</v>
      </c>
      <c r="J59">
        <v>7.8200000000000006E-2</v>
      </c>
      <c r="K59">
        <v>0.44</v>
      </c>
      <c r="L59">
        <v>-0.37580000000000002</v>
      </c>
      <c r="N59">
        <v>107100000</v>
      </c>
      <c r="O59">
        <v>0.77</v>
      </c>
      <c r="P59">
        <v>2024</v>
      </c>
      <c r="Q59">
        <v>975100000</v>
      </c>
      <c r="R59">
        <v>38900000</v>
      </c>
      <c r="S59">
        <v>-68200000</v>
      </c>
      <c r="T59">
        <v>4978800000</v>
      </c>
      <c r="U59">
        <v>4329500000</v>
      </c>
      <c r="V59">
        <v>803700000</v>
      </c>
      <c r="W59">
        <v>2052900000</v>
      </c>
      <c r="X59">
        <v>-1249200000</v>
      </c>
      <c r="Y59">
        <v>76300000</v>
      </c>
      <c r="Z59" s="1">
        <v>46083</v>
      </c>
      <c r="AA59">
        <v>3.5920000000000001</v>
      </c>
      <c r="AB59">
        <v>210939330</v>
      </c>
      <c r="AC59">
        <v>11.2492</v>
      </c>
      <c r="AD59">
        <v>2.2968000000000002</v>
      </c>
      <c r="AE59">
        <v>1.9120999999999999</v>
      </c>
      <c r="AF59">
        <v>19.2986</v>
      </c>
      <c r="AG59">
        <v>11.24917416734854</v>
      </c>
      <c r="AH59">
        <v>2.2967702620353441</v>
      </c>
      <c r="AI59">
        <v>1.9121059358396177</v>
      </c>
      <c r="AJ59">
        <v>5.762332526301905</v>
      </c>
      <c r="AK59">
        <v>19.262644318766068</v>
      </c>
    </row>
    <row r="60" spans="1:37" x14ac:dyDescent="0.35">
      <c r="A60">
        <v>39</v>
      </c>
      <c r="B60" t="s">
        <v>124</v>
      </c>
      <c r="C60" t="s">
        <v>125</v>
      </c>
      <c r="D60" t="s">
        <v>35</v>
      </c>
      <c r="E60" t="s">
        <v>32</v>
      </c>
      <c r="F60">
        <v>3189307392</v>
      </c>
      <c r="G60">
        <v>0.1109</v>
      </c>
      <c r="H60">
        <v>0.13539999999999999</v>
      </c>
      <c r="I60">
        <v>1.38</v>
      </c>
      <c r="J60">
        <v>2.98E-2</v>
      </c>
      <c r="K60">
        <v>7.61</v>
      </c>
      <c r="L60">
        <v>9.5000000000000001E-2</v>
      </c>
      <c r="N60">
        <v>386900000</v>
      </c>
      <c r="O60">
        <v>2752.93</v>
      </c>
      <c r="P60">
        <v>2024</v>
      </c>
      <c r="Q60">
        <v>8817200000</v>
      </c>
      <c r="R60">
        <v>977600000</v>
      </c>
      <c r="S60">
        <v>590700000</v>
      </c>
      <c r="T60">
        <v>281600000</v>
      </c>
      <c r="U60">
        <v>7140600000</v>
      </c>
      <c r="V60">
        <v>1718600000</v>
      </c>
      <c r="W60">
        <v>368200000</v>
      </c>
      <c r="X60">
        <v>1350400000</v>
      </c>
      <c r="Y60">
        <v>263000000</v>
      </c>
      <c r="Z60" s="1">
        <v>46083</v>
      </c>
      <c r="AA60">
        <v>22.63</v>
      </c>
      <c r="AB60">
        <v>147136660</v>
      </c>
      <c r="AC60">
        <v>18.3432</v>
      </c>
      <c r="AD60">
        <v>4.6043000000000003</v>
      </c>
      <c r="AE60">
        <v>9.5808999999999997</v>
      </c>
      <c r="AF60">
        <v>-0.50539999999999996</v>
      </c>
      <c r="AG60">
        <v>18.343152407794637</v>
      </c>
      <c r="AH60">
        <v>4.6043063172862073</v>
      </c>
      <c r="AI60">
        <v>9.5808594877548323</v>
      </c>
      <c r="AJ60">
        <v>11.592810704630166</v>
      </c>
      <c r="AK60">
        <v>3.2623848117839609</v>
      </c>
    </row>
    <row r="61" spans="1:37" x14ac:dyDescent="0.35">
      <c r="A61">
        <v>41</v>
      </c>
      <c r="B61" t="s">
        <v>128</v>
      </c>
      <c r="C61" t="s">
        <v>129</v>
      </c>
      <c r="D61" t="s">
        <v>35</v>
      </c>
      <c r="E61" t="s">
        <v>39</v>
      </c>
      <c r="F61">
        <v>1474566272</v>
      </c>
      <c r="G61">
        <v>0.14449999999999999</v>
      </c>
      <c r="H61">
        <v>0.3362</v>
      </c>
      <c r="I61">
        <v>3.46</v>
      </c>
      <c r="J61">
        <v>6.7699999999999996E-2</v>
      </c>
      <c r="K61">
        <v>4.45</v>
      </c>
      <c r="L61">
        <v>0.19259999999999999</v>
      </c>
      <c r="N61">
        <v>418000000</v>
      </c>
      <c r="O61">
        <v>8.73</v>
      </c>
      <c r="P61">
        <v>2024</v>
      </c>
      <c r="Q61">
        <v>3433200000</v>
      </c>
      <c r="R61">
        <v>607500000</v>
      </c>
      <c r="S61">
        <v>234100000</v>
      </c>
      <c r="T61">
        <v>27400000</v>
      </c>
      <c r="U61">
        <v>3172900000</v>
      </c>
      <c r="V61">
        <v>1936400000</v>
      </c>
      <c r="W61">
        <v>254800000</v>
      </c>
      <c r="X61">
        <v>1681600000</v>
      </c>
      <c r="Y61">
        <v>297100000</v>
      </c>
      <c r="Z61" s="1">
        <v>46083</v>
      </c>
      <c r="AA61">
        <v>191.7</v>
      </c>
      <c r="AB61">
        <v>786096898</v>
      </c>
      <c r="AC61">
        <v>25</v>
      </c>
      <c r="AD61">
        <v>5.6962999999999999</v>
      </c>
      <c r="AE61">
        <v>6.2586000000000004</v>
      </c>
      <c r="AF61">
        <v>-1.4319</v>
      </c>
      <c r="AG61">
        <v>25</v>
      </c>
      <c r="AH61">
        <v>5.6963233800528128</v>
      </c>
      <c r="AI61">
        <v>6.2585650350892799</v>
      </c>
      <c r="AJ61">
        <v>13.586466524542626</v>
      </c>
      <c r="AK61">
        <v>2.4272695835390947</v>
      </c>
    </row>
    <row r="62" spans="1:37" x14ac:dyDescent="0.35">
      <c r="A62">
        <v>42</v>
      </c>
      <c r="B62" t="s">
        <v>130</v>
      </c>
      <c r="C62" t="s">
        <v>131</v>
      </c>
      <c r="D62" t="s">
        <v>35</v>
      </c>
      <c r="E62" t="s">
        <v>43</v>
      </c>
      <c r="F62">
        <v>2539962624</v>
      </c>
      <c r="G62">
        <v>0</v>
      </c>
      <c r="H62">
        <v>0.1244</v>
      </c>
      <c r="I62">
        <v>0</v>
      </c>
      <c r="J62">
        <v>0</v>
      </c>
      <c r="K62">
        <v>0</v>
      </c>
      <c r="L62">
        <v>8.6999999999999994E-3</v>
      </c>
      <c r="N62">
        <v>294900000</v>
      </c>
      <c r="O62">
        <v>5.0199999999999996</v>
      </c>
      <c r="Z62" s="1">
        <v>46083</v>
      </c>
      <c r="AA62">
        <v>49.8</v>
      </c>
      <c r="AB62">
        <v>54787804</v>
      </c>
      <c r="AC62">
        <v>17.809799999999999</v>
      </c>
      <c r="AD62">
        <v>1</v>
      </c>
      <c r="AE62">
        <v>19.4117</v>
      </c>
      <c r="AF62">
        <v>0.17419999999999999</v>
      </c>
      <c r="AG62">
        <v>17.809770585204703</v>
      </c>
      <c r="AH62">
        <v>1</v>
      </c>
      <c r="AI62">
        <v>19.411656553748074</v>
      </c>
      <c r="AJ62">
        <v>13.247405200206302</v>
      </c>
    </row>
    <row r="63" spans="1:37" x14ac:dyDescent="0.35">
      <c r="A63">
        <v>61</v>
      </c>
      <c r="B63" t="s">
        <v>170</v>
      </c>
      <c r="C63" t="s">
        <v>171</v>
      </c>
      <c r="D63" t="s">
        <v>31</v>
      </c>
      <c r="E63" t="s">
        <v>43</v>
      </c>
      <c r="F63">
        <v>12688581632</v>
      </c>
      <c r="G63">
        <v>0.19639999999999999</v>
      </c>
      <c r="H63">
        <v>6.7799999999999999E-2</v>
      </c>
      <c r="I63">
        <v>1.35</v>
      </c>
      <c r="J63">
        <v>2.2700000000000001E-2</v>
      </c>
      <c r="L63">
        <v>4.6100000000000002E-2</v>
      </c>
      <c r="N63">
        <v>299500000</v>
      </c>
      <c r="O63">
        <v>11.54</v>
      </c>
      <c r="P63">
        <v>2024</v>
      </c>
      <c r="Q63">
        <v>6240900000</v>
      </c>
      <c r="R63">
        <v>1247800000</v>
      </c>
      <c r="S63">
        <v>964100000</v>
      </c>
      <c r="T63">
        <v>569400000</v>
      </c>
      <c r="U63">
        <v>7194900000</v>
      </c>
      <c r="V63">
        <v>2873200000</v>
      </c>
      <c r="W63">
        <v>1204200000</v>
      </c>
      <c r="X63">
        <v>1669000000</v>
      </c>
      <c r="Y63">
        <v>145900000</v>
      </c>
      <c r="Z63" s="1">
        <v>46085</v>
      </c>
      <c r="AA63">
        <v>28.64</v>
      </c>
      <c r="AB63">
        <v>443656690</v>
      </c>
      <c r="AC63">
        <v>15.065300000000001</v>
      </c>
      <c r="AD63">
        <v>7.3830999999999998</v>
      </c>
      <c r="AE63">
        <v>9.6717999999999993</v>
      </c>
      <c r="AF63">
        <v>-0.47939999999999999</v>
      </c>
      <c r="AG63">
        <v>15.065278661696507</v>
      </c>
      <c r="AH63">
        <v>7.3830997359333743</v>
      </c>
      <c r="AI63">
        <v>9.6718011812422819</v>
      </c>
      <c r="AJ63">
        <v>11.1425817398313</v>
      </c>
      <c r="AK63">
        <v>10.168762327296042</v>
      </c>
    </row>
    <row r="64" spans="1:37" x14ac:dyDescent="0.35">
      <c r="A64">
        <v>45</v>
      </c>
      <c r="B64" t="s">
        <v>136</v>
      </c>
      <c r="C64" t="s">
        <v>137</v>
      </c>
      <c r="D64" t="s">
        <v>35</v>
      </c>
      <c r="E64" t="s">
        <v>43</v>
      </c>
      <c r="F64">
        <v>1027506816</v>
      </c>
      <c r="G64">
        <v>1.8700000000000001E-2</v>
      </c>
      <c r="H64">
        <v>0.36709999999999998</v>
      </c>
      <c r="I64">
        <v>8.86</v>
      </c>
      <c r="J64">
        <v>1.4999999999999999E-2</v>
      </c>
      <c r="K64">
        <v>1.87</v>
      </c>
      <c r="L64">
        <v>9.8400000000000001E-2</v>
      </c>
      <c r="N64">
        <v>0</v>
      </c>
      <c r="O64">
        <v>0</v>
      </c>
      <c r="P64">
        <v>2024</v>
      </c>
      <c r="Q64">
        <v>8253200000</v>
      </c>
      <c r="R64">
        <v>154500000</v>
      </c>
      <c r="S64">
        <v>154500000</v>
      </c>
      <c r="T64">
        <v>35900000</v>
      </c>
      <c r="U64">
        <v>8487900000</v>
      </c>
      <c r="V64">
        <v>2431200000</v>
      </c>
      <c r="W64">
        <v>1061900000</v>
      </c>
      <c r="X64">
        <v>1369300000</v>
      </c>
      <c r="Y64">
        <v>123900000</v>
      </c>
      <c r="Z64" s="1">
        <v>46080</v>
      </c>
      <c r="AA64">
        <v>35.4</v>
      </c>
      <c r="AB64">
        <v>29107842</v>
      </c>
      <c r="AC64">
        <v>25</v>
      </c>
      <c r="AD64">
        <v>1.6077999999999999</v>
      </c>
      <c r="AE64">
        <v>4.1765999999999996</v>
      </c>
      <c r="AF64">
        <v>-4.7796000000000003</v>
      </c>
      <c r="AG64">
        <v>25</v>
      </c>
      <c r="AH64">
        <v>1.6077594962421289</v>
      </c>
      <c r="AI64">
        <v>4.1766232195926314</v>
      </c>
      <c r="AJ64">
        <v>11.73531481475043</v>
      </c>
      <c r="AK64">
        <v>6.6505295533980586</v>
      </c>
    </row>
    <row r="65" spans="1:37" x14ac:dyDescent="0.35">
      <c r="A65">
        <v>140</v>
      </c>
      <c r="B65" t="s">
        <v>332</v>
      </c>
      <c r="C65" t="s">
        <v>333</v>
      </c>
      <c r="D65" t="s">
        <v>46</v>
      </c>
      <c r="E65" t="s">
        <v>39</v>
      </c>
      <c r="F65">
        <v>1863362944</v>
      </c>
      <c r="G65">
        <v>1.0871999999999999</v>
      </c>
      <c r="H65">
        <v>6.1499999999999999E-2</v>
      </c>
      <c r="I65">
        <v>1.81</v>
      </c>
      <c r="J65">
        <v>0</v>
      </c>
      <c r="L65">
        <v>6.13E-2</v>
      </c>
      <c r="N65">
        <v>2538000</v>
      </c>
      <c r="O65">
        <v>17.739999999999998</v>
      </c>
      <c r="P65">
        <v>2024</v>
      </c>
      <c r="Q65">
        <v>199619000</v>
      </c>
      <c r="R65">
        <v>266579000</v>
      </c>
      <c r="S65">
        <v>263981000</v>
      </c>
      <c r="T65">
        <v>239833000</v>
      </c>
      <c r="U65">
        <v>2902768000</v>
      </c>
      <c r="V65">
        <v>408415000</v>
      </c>
      <c r="W65">
        <v>9356000</v>
      </c>
      <c r="X65">
        <v>399059000</v>
      </c>
      <c r="Y65">
        <v>0</v>
      </c>
      <c r="Z65" s="1">
        <v>46085</v>
      </c>
      <c r="AA65">
        <v>954</v>
      </c>
      <c r="AB65">
        <v>195937211</v>
      </c>
      <c r="AC65">
        <v>14.7598</v>
      </c>
      <c r="AD65">
        <v>25</v>
      </c>
      <c r="AE65">
        <v>8.4907000000000004</v>
      </c>
      <c r="AF65">
        <v>0.30470000000000003</v>
      </c>
      <c r="AG65">
        <v>14.759796345122274</v>
      </c>
      <c r="AH65">
        <v>25</v>
      </c>
      <c r="AI65">
        <v>8.4907458309450199</v>
      </c>
      <c r="AJ65">
        <v>15.951142287332415</v>
      </c>
      <c r="AK65">
        <v>6.9899089725747343</v>
      </c>
    </row>
    <row r="66" spans="1:37" x14ac:dyDescent="0.35">
      <c r="A66">
        <v>46</v>
      </c>
      <c r="B66" t="s">
        <v>138</v>
      </c>
      <c r="C66" t="s">
        <v>139</v>
      </c>
      <c r="D66" t="s">
        <v>58</v>
      </c>
      <c r="E66" t="s">
        <v>39</v>
      </c>
      <c r="F66">
        <v>1653213696</v>
      </c>
      <c r="G66">
        <v>0.18060000000000001</v>
      </c>
      <c r="H66">
        <v>-7.8899999999999998E-2</v>
      </c>
      <c r="I66">
        <v>4.41</v>
      </c>
      <c r="J66">
        <v>0.32879999999999998</v>
      </c>
      <c r="K66">
        <v>2.34</v>
      </c>
      <c r="L66">
        <v>-0.15479999999999999</v>
      </c>
      <c r="N66">
        <v>465500000</v>
      </c>
      <c r="O66">
        <v>29.73</v>
      </c>
      <c r="P66">
        <v>2024</v>
      </c>
      <c r="Q66">
        <v>1214600000</v>
      </c>
      <c r="R66">
        <v>219400000</v>
      </c>
      <c r="S66">
        <v>-246100000</v>
      </c>
      <c r="T66">
        <v>-336200000</v>
      </c>
      <c r="U66">
        <v>4156500000</v>
      </c>
      <c r="V66">
        <v>1698400000</v>
      </c>
      <c r="W66">
        <v>730500000</v>
      </c>
      <c r="X66">
        <v>967900000</v>
      </c>
      <c r="Y66">
        <v>399400000</v>
      </c>
      <c r="Z66" s="1">
        <v>46083</v>
      </c>
      <c r="AA66">
        <v>205.60210000000001</v>
      </c>
      <c r="AB66">
        <v>829077513</v>
      </c>
      <c r="AC66">
        <v>7.9519000000000002</v>
      </c>
      <c r="AD66">
        <v>6.8696000000000002</v>
      </c>
      <c r="AE66">
        <v>5.5910000000000002</v>
      </c>
      <c r="AF66">
        <v>-2.5396999999999998</v>
      </c>
      <c r="AG66">
        <v>7.9519047186107779</v>
      </c>
      <c r="AH66">
        <v>6.8695917123705064</v>
      </c>
      <c r="AI66">
        <v>5.5910238224598183</v>
      </c>
      <c r="AJ66">
        <v>6.9189465478934089</v>
      </c>
      <c r="AK66">
        <v>7.5351581403828627</v>
      </c>
    </row>
    <row r="67" spans="1:37" x14ac:dyDescent="0.35">
      <c r="A67">
        <v>56</v>
      </c>
      <c r="B67" t="s">
        <v>159</v>
      </c>
      <c r="C67" t="s">
        <v>160</v>
      </c>
      <c r="D67" t="s">
        <v>49</v>
      </c>
      <c r="E67" t="s">
        <v>69</v>
      </c>
      <c r="F67">
        <v>1862251264</v>
      </c>
      <c r="G67">
        <v>0.15720000000000001</v>
      </c>
      <c r="H67">
        <v>-0.21590000000000001</v>
      </c>
      <c r="I67">
        <v>-1.21</v>
      </c>
      <c r="J67">
        <v>0.2979</v>
      </c>
      <c r="K67">
        <v>47.56</v>
      </c>
      <c r="L67">
        <v>5.7599999999999998E-2</v>
      </c>
      <c r="N67">
        <v>45499000</v>
      </c>
      <c r="O67">
        <v>-1.98</v>
      </c>
      <c r="P67">
        <v>2024</v>
      </c>
      <c r="Q67">
        <v>275649000</v>
      </c>
      <c r="R67">
        <v>43325000</v>
      </c>
      <c r="S67">
        <v>-2174000</v>
      </c>
      <c r="T67">
        <v>74082000</v>
      </c>
      <c r="U67">
        <v>4135719000</v>
      </c>
      <c r="V67">
        <v>11722000</v>
      </c>
      <c r="W67">
        <v>64239000</v>
      </c>
      <c r="X67">
        <v>-52517000</v>
      </c>
      <c r="Y67">
        <v>82110000</v>
      </c>
      <c r="Z67" s="1">
        <v>46083</v>
      </c>
      <c r="AA67">
        <v>28.12</v>
      </c>
      <c r="AB67">
        <v>65897071</v>
      </c>
      <c r="AC67">
        <v>1.3089</v>
      </c>
      <c r="AD67">
        <v>6.1090999999999998</v>
      </c>
      <c r="AE67">
        <v>1</v>
      </c>
      <c r="AF67">
        <v>0.61240000000000006</v>
      </c>
      <c r="AG67">
        <v>1.3088765645361693</v>
      </c>
      <c r="AH67">
        <v>6.1090798293723338</v>
      </c>
      <c r="AI67">
        <v>1</v>
      </c>
      <c r="AJ67">
        <v>2.6562745746261678</v>
      </c>
      <c r="AK67">
        <v>42.983295187536065</v>
      </c>
    </row>
    <row r="68" spans="1:37" x14ac:dyDescent="0.35">
      <c r="A68">
        <v>116</v>
      </c>
      <c r="B68" t="s">
        <v>285</v>
      </c>
      <c r="C68" t="s">
        <v>286</v>
      </c>
      <c r="D68" t="s">
        <v>106</v>
      </c>
      <c r="E68" t="s">
        <v>50</v>
      </c>
      <c r="F68">
        <v>8269216768</v>
      </c>
      <c r="G68">
        <v>0.32790000000000002</v>
      </c>
      <c r="H68">
        <v>5.8599999999999999E-2</v>
      </c>
      <c r="I68">
        <v>-0.56999999999999995</v>
      </c>
      <c r="J68">
        <v>0.104</v>
      </c>
      <c r="L68">
        <v>7.9699999999999993E-2</v>
      </c>
      <c r="N68">
        <v>272339000</v>
      </c>
      <c r="O68">
        <v>6.34</v>
      </c>
      <c r="P68">
        <v>2024</v>
      </c>
      <c r="Q68">
        <v>4313037000</v>
      </c>
      <c r="R68">
        <v>1414430000</v>
      </c>
      <c r="S68">
        <v>1142091000</v>
      </c>
      <c r="T68">
        <v>942316000</v>
      </c>
      <c r="U68">
        <v>8688435000</v>
      </c>
      <c r="V68">
        <v>607565000</v>
      </c>
      <c r="W68">
        <v>1410439000</v>
      </c>
      <c r="X68">
        <v>-802874000</v>
      </c>
      <c r="Y68">
        <v>448413000</v>
      </c>
      <c r="Z68" s="1">
        <v>46085</v>
      </c>
      <c r="AA68">
        <v>45.58</v>
      </c>
      <c r="AB68">
        <v>181024878</v>
      </c>
      <c r="AC68">
        <v>14.619199999999999</v>
      </c>
      <c r="AD68">
        <v>11.6569</v>
      </c>
      <c r="AE68">
        <v>25</v>
      </c>
      <c r="AF68">
        <v>0.8175</v>
      </c>
      <c r="AG68">
        <v>14.619177500984931</v>
      </c>
      <c r="AH68">
        <v>11.656916514320537</v>
      </c>
      <c r="AI68">
        <v>25</v>
      </c>
      <c r="AJ68">
        <v>16.844745954690133</v>
      </c>
      <c r="AK68">
        <v>5.8463245038637472</v>
      </c>
    </row>
    <row r="69" spans="1:37" x14ac:dyDescent="0.35">
      <c r="A69">
        <v>48</v>
      </c>
      <c r="B69" t="s">
        <v>142</v>
      </c>
      <c r="C69" t="s">
        <v>143</v>
      </c>
      <c r="D69" t="s">
        <v>62</v>
      </c>
      <c r="E69" t="s">
        <v>39</v>
      </c>
      <c r="F69">
        <v>4456340992</v>
      </c>
      <c r="G69">
        <v>0.6331</v>
      </c>
      <c r="H69">
        <v>0.1091</v>
      </c>
      <c r="I69">
        <v>-0.84</v>
      </c>
      <c r="J69">
        <v>6.1000000000000004E-3</v>
      </c>
      <c r="K69">
        <v>16.649999999999999</v>
      </c>
      <c r="L69">
        <v>-7.3000000000000001E-3</v>
      </c>
      <c r="N69">
        <v>57900000</v>
      </c>
      <c r="O69">
        <v>0</v>
      </c>
      <c r="P69">
        <v>2024</v>
      </c>
      <c r="Q69">
        <v>852400000</v>
      </c>
      <c r="R69">
        <v>504700000</v>
      </c>
      <c r="S69">
        <v>428900000</v>
      </c>
      <c r="T69">
        <v>307700000</v>
      </c>
      <c r="U69">
        <v>2940900000</v>
      </c>
      <c r="V69">
        <v>323200000</v>
      </c>
      <c r="W69">
        <v>948500000</v>
      </c>
      <c r="X69">
        <v>-625300000</v>
      </c>
      <c r="Y69">
        <v>17500000</v>
      </c>
      <c r="Z69" s="1">
        <v>46083</v>
      </c>
      <c r="AA69">
        <v>1280</v>
      </c>
      <c r="AB69">
        <v>335316933</v>
      </c>
      <c r="AC69">
        <v>17.067900000000002</v>
      </c>
      <c r="AD69">
        <v>21.5761</v>
      </c>
      <c r="AE69">
        <v>25</v>
      </c>
      <c r="AF69">
        <v>1.4165000000000001</v>
      </c>
      <c r="AG69">
        <v>17.067884959238711</v>
      </c>
      <c r="AH69">
        <v>21.576071501117205</v>
      </c>
      <c r="AI69">
        <v>25</v>
      </c>
      <c r="AJ69">
        <v>20.799975434030646</v>
      </c>
      <c r="AK69">
        <v>8.8296829641371115</v>
      </c>
    </row>
    <row r="70" spans="1:37" x14ac:dyDescent="0.35">
      <c r="A70">
        <v>49</v>
      </c>
      <c r="B70" t="s">
        <v>144</v>
      </c>
      <c r="C70" t="s">
        <v>145</v>
      </c>
      <c r="D70" t="s">
        <v>31</v>
      </c>
      <c r="E70" t="s">
        <v>146</v>
      </c>
      <c r="F70">
        <v>1105758976</v>
      </c>
      <c r="G70">
        <v>0.2346</v>
      </c>
      <c r="H70">
        <v>0.37990000000000002</v>
      </c>
      <c r="I70">
        <v>4.87</v>
      </c>
      <c r="J70">
        <v>0.1225</v>
      </c>
      <c r="K70">
        <v>4.95</v>
      </c>
      <c r="L70">
        <v>0.56079999999999997</v>
      </c>
      <c r="N70">
        <v>966800000</v>
      </c>
      <c r="O70">
        <v>9.4499999999999993</v>
      </c>
      <c r="P70">
        <v>2024</v>
      </c>
      <c r="Q70">
        <v>5073100000</v>
      </c>
      <c r="R70">
        <v>1293100000</v>
      </c>
      <c r="S70">
        <v>537800000</v>
      </c>
      <c r="T70">
        <v>376600000</v>
      </c>
      <c r="U70">
        <v>8694900000</v>
      </c>
      <c r="V70">
        <v>6269700000</v>
      </c>
      <c r="W70">
        <v>728400000</v>
      </c>
      <c r="X70">
        <v>5541300000</v>
      </c>
      <c r="Y70">
        <v>708900000</v>
      </c>
      <c r="Z70" s="1">
        <v>46083</v>
      </c>
      <c r="AA70">
        <v>1145</v>
      </c>
      <c r="AB70">
        <v>103438631</v>
      </c>
      <c r="AC70">
        <v>25</v>
      </c>
      <c r="AD70">
        <v>8.6245999999999992</v>
      </c>
      <c r="AE70">
        <v>5.3453999999999997</v>
      </c>
      <c r="AF70">
        <v>-2.1086</v>
      </c>
      <c r="AG70">
        <v>25</v>
      </c>
      <c r="AH70">
        <v>8.6246191346739796</v>
      </c>
      <c r="AI70">
        <v>5.3454347339938266</v>
      </c>
      <c r="AJ70">
        <v>14.191016160600341</v>
      </c>
      <c r="AK70">
        <v>0.8551225551001469</v>
      </c>
    </row>
    <row r="71" spans="1:37" x14ac:dyDescent="0.35">
      <c r="A71">
        <v>142</v>
      </c>
      <c r="B71" t="s">
        <v>336</v>
      </c>
      <c r="C71" t="s">
        <v>337</v>
      </c>
      <c r="D71" t="s">
        <v>62</v>
      </c>
      <c r="E71" t="s">
        <v>36</v>
      </c>
      <c r="F71">
        <v>68091854848</v>
      </c>
      <c r="G71">
        <v>0</v>
      </c>
      <c r="H71">
        <v>5.0500000000000003E-2</v>
      </c>
      <c r="I71">
        <v>0</v>
      </c>
      <c r="J71">
        <v>5.79E-2</v>
      </c>
      <c r="L71">
        <v>0.1109</v>
      </c>
      <c r="N71">
        <v>791000000</v>
      </c>
      <c r="O71">
        <v>0</v>
      </c>
      <c r="Z71" s="1">
        <v>46085</v>
      </c>
      <c r="AA71">
        <v>9.6880000000000006</v>
      </c>
      <c r="AB71">
        <v>6994110489</v>
      </c>
      <c r="AC71">
        <v>14.2264</v>
      </c>
      <c r="AD71">
        <v>1</v>
      </c>
      <c r="AE71">
        <v>19.4117</v>
      </c>
      <c r="AF71">
        <v>7.0699999999999999E-2</v>
      </c>
      <c r="AG71">
        <v>14.226414522532343</v>
      </c>
      <c r="AH71">
        <v>1</v>
      </c>
      <c r="AI71">
        <v>19.411656553748074</v>
      </c>
      <c r="AJ71">
        <v>11.814062775137359</v>
      </c>
    </row>
    <row r="72" spans="1:37" x14ac:dyDescent="0.35">
      <c r="A72">
        <v>50</v>
      </c>
      <c r="B72" t="s">
        <v>147</v>
      </c>
      <c r="C72" t="s">
        <v>148</v>
      </c>
      <c r="D72" t="s">
        <v>106</v>
      </c>
      <c r="E72" t="s">
        <v>32</v>
      </c>
      <c r="F72">
        <v>2711574016</v>
      </c>
      <c r="G72">
        <v>0.13150000000000001</v>
      </c>
      <c r="H72">
        <v>2.53E-2</v>
      </c>
      <c r="I72">
        <v>0.37</v>
      </c>
      <c r="J72">
        <v>0.1429</v>
      </c>
      <c r="K72">
        <v>16.62</v>
      </c>
      <c r="L72">
        <v>0.13070000000000001</v>
      </c>
      <c r="N72">
        <v>559700000</v>
      </c>
      <c r="O72">
        <v>4.9800000000000004</v>
      </c>
      <c r="P72">
        <v>2024</v>
      </c>
      <c r="Q72">
        <v>3653100000</v>
      </c>
      <c r="R72">
        <v>480200000</v>
      </c>
      <c r="S72">
        <v>-79500000</v>
      </c>
      <c r="T72">
        <v>-66800000</v>
      </c>
      <c r="U72">
        <v>9353500000</v>
      </c>
      <c r="V72">
        <v>493900000</v>
      </c>
      <c r="W72">
        <v>317600000</v>
      </c>
      <c r="X72">
        <v>176300000</v>
      </c>
      <c r="Y72">
        <v>522100000</v>
      </c>
      <c r="Z72" s="1">
        <v>46083</v>
      </c>
      <c r="AA72">
        <v>15.22</v>
      </c>
      <c r="AB72">
        <v>179100000</v>
      </c>
      <c r="AC72">
        <v>13.0045</v>
      </c>
      <c r="AD72">
        <v>5.2737999999999996</v>
      </c>
      <c r="AE72">
        <v>14.832700000000001</v>
      </c>
      <c r="AF72">
        <v>-2.8799999999999999E-2</v>
      </c>
      <c r="AG72">
        <v>13.004485256235407</v>
      </c>
      <c r="AH72">
        <v>5.2738167783871628</v>
      </c>
      <c r="AI72">
        <v>14.832686969323209</v>
      </c>
      <c r="AJ72">
        <v>11.233745226807274</v>
      </c>
      <c r="AK72">
        <v>5.6467597167846728</v>
      </c>
    </row>
    <row r="73" spans="1:37" x14ac:dyDescent="0.35">
      <c r="A73">
        <v>70</v>
      </c>
      <c r="B73" t="s">
        <v>188</v>
      </c>
      <c r="C73" t="s">
        <v>189</v>
      </c>
      <c r="D73" t="s">
        <v>35</v>
      </c>
      <c r="E73" t="s">
        <v>82</v>
      </c>
      <c r="F73">
        <v>83869679616</v>
      </c>
      <c r="G73">
        <v>0.30520000000000003</v>
      </c>
      <c r="H73">
        <v>3.8899999999999997E-2</v>
      </c>
      <c r="I73">
        <v>0.85</v>
      </c>
      <c r="J73">
        <v>5.5100000000000003E-2</v>
      </c>
      <c r="L73">
        <v>8.7499999999999994E-2</v>
      </c>
      <c r="N73">
        <v>1560000000</v>
      </c>
      <c r="O73">
        <v>15.29</v>
      </c>
      <c r="P73">
        <v>2024</v>
      </c>
      <c r="Q73">
        <v>20616000000</v>
      </c>
      <c r="R73">
        <v>6520000000</v>
      </c>
      <c r="S73">
        <v>5088000000</v>
      </c>
      <c r="T73">
        <v>2362000000</v>
      </c>
      <c r="U73">
        <v>42681000000</v>
      </c>
      <c r="V73">
        <v>16365000000</v>
      </c>
      <c r="W73">
        <v>10710000000</v>
      </c>
      <c r="X73">
        <v>5655000000</v>
      </c>
      <c r="Y73">
        <v>1021000000</v>
      </c>
      <c r="Z73" s="1">
        <v>46085</v>
      </c>
      <c r="AA73">
        <v>142.69999999999999</v>
      </c>
      <c r="AB73">
        <v>534182089</v>
      </c>
      <c r="AC73">
        <v>13.6639</v>
      </c>
      <c r="AD73">
        <v>10.9192</v>
      </c>
      <c r="AE73">
        <v>11.621700000000001</v>
      </c>
      <c r="AF73">
        <v>-8.9300000000000004E-2</v>
      </c>
      <c r="AG73">
        <v>13.66393914598296</v>
      </c>
      <c r="AH73">
        <v>10.91915498679667</v>
      </c>
      <c r="AI73">
        <v>11.621722176738935</v>
      </c>
      <c r="AJ73">
        <v>12.227838807453868</v>
      </c>
      <c r="AK73">
        <v>12.863447793865031</v>
      </c>
    </row>
    <row r="74" spans="1:37" x14ac:dyDescent="0.35">
      <c r="A74">
        <v>115</v>
      </c>
      <c r="B74" t="s">
        <v>283</v>
      </c>
      <c r="C74" t="s">
        <v>284</v>
      </c>
      <c r="D74" t="s">
        <v>62</v>
      </c>
      <c r="E74" t="s">
        <v>43</v>
      </c>
      <c r="F74">
        <v>2199385856</v>
      </c>
      <c r="G74">
        <v>0</v>
      </c>
      <c r="H74">
        <v>9.1200000000000003E-2</v>
      </c>
      <c r="I74">
        <v>0</v>
      </c>
      <c r="J74">
        <v>1.6199999999999999E-2</v>
      </c>
      <c r="L74">
        <v>1.84E-2</v>
      </c>
      <c r="N74">
        <v>33849000</v>
      </c>
      <c r="O74">
        <v>11.96</v>
      </c>
      <c r="P74">
        <v>2024</v>
      </c>
      <c r="Q74">
        <v>1648842000</v>
      </c>
      <c r="R74">
        <v>0</v>
      </c>
      <c r="S74">
        <v>409231000</v>
      </c>
      <c r="T74">
        <v>261067000</v>
      </c>
      <c r="U74">
        <v>8084134000</v>
      </c>
      <c r="V74">
        <v>2390978000</v>
      </c>
      <c r="W74">
        <v>507832000</v>
      </c>
      <c r="X74">
        <v>1883146000</v>
      </c>
      <c r="Y74">
        <v>26708000</v>
      </c>
      <c r="Z74" s="1">
        <v>46085</v>
      </c>
      <c r="AA74">
        <v>14.76</v>
      </c>
      <c r="AB74">
        <v>149212066</v>
      </c>
      <c r="AC74">
        <v>16.1999</v>
      </c>
      <c r="AD74">
        <v>1</v>
      </c>
      <c r="AE74">
        <v>19.4117</v>
      </c>
      <c r="AF74">
        <v>0.12770000000000001</v>
      </c>
      <c r="AG74">
        <v>16.199927266115093</v>
      </c>
      <c r="AH74">
        <v>1</v>
      </c>
      <c r="AI74">
        <v>19.411656553748074</v>
      </c>
      <c r="AJ74">
        <v>12.603467872570459</v>
      </c>
      <c r="AK74" t="e">
        <v>#NUM!</v>
      </c>
    </row>
    <row r="75" spans="1:37" x14ac:dyDescent="0.35">
      <c r="A75">
        <v>54</v>
      </c>
      <c r="B75" t="s">
        <v>155</v>
      </c>
      <c r="C75" t="s">
        <v>156</v>
      </c>
      <c r="D75" t="s">
        <v>31</v>
      </c>
      <c r="E75" t="s">
        <v>109</v>
      </c>
      <c r="F75">
        <v>4578835456</v>
      </c>
      <c r="G75">
        <v>3.6600000000000001E-2</v>
      </c>
      <c r="H75">
        <v>0.17449999999999999</v>
      </c>
      <c r="I75">
        <v>1.79</v>
      </c>
      <c r="J75">
        <v>3.2000000000000002E-3</v>
      </c>
      <c r="K75">
        <v>8.89</v>
      </c>
      <c r="L75">
        <v>-5.74E-2</v>
      </c>
      <c r="N75">
        <v>317000000</v>
      </c>
      <c r="O75">
        <v>9.9600000000000009</v>
      </c>
      <c r="P75">
        <v>2024</v>
      </c>
      <c r="Q75">
        <v>24122000000</v>
      </c>
      <c r="R75">
        <v>606000000</v>
      </c>
      <c r="S75">
        <v>281000000</v>
      </c>
      <c r="T75">
        <v>123000000</v>
      </c>
      <c r="U75">
        <v>11190000000</v>
      </c>
      <c r="V75">
        <v>2218000000</v>
      </c>
      <c r="W75">
        <v>357000000</v>
      </c>
      <c r="X75">
        <v>1861000000</v>
      </c>
      <c r="Y75">
        <v>84000000</v>
      </c>
      <c r="Z75" s="1">
        <v>46083</v>
      </c>
      <c r="AA75">
        <v>27.23</v>
      </c>
      <c r="AB75">
        <v>175232895</v>
      </c>
      <c r="AC75">
        <v>20.239100000000001</v>
      </c>
      <c r="AD75">
        <v>2.1894999999999998</v>
      </c>
      <c r="AE75">
        <v>8.5340000000000007</v>
      </c>
      <c r="AF75">
        <v>-0.78580000000000005</v>
      </c>
      <c r="AG75">
        <v>20.23908234081885</v>
      </c>
      <c r="AH75">
        <v>2.1895185862279094</v>
      </c>
      <c r="AI75">
        <v>8.5339978189954877</v>
      </c>
      <c r="AJ75">
        <v>11.312687857894559</v>
      </c>
      <c r="AK75">
        <v>7.5558340858085806</v>
      </c>
    </row>
    <row r="76" spans="1:37" x14ac:dyDescent="0.35">
      <c r="A76">
        <v>55</v>
      </c>
      <c r="B76" t="s">
        <v>157</v>
      </c>
      <c r="C76" t="s">
        <v>158</v>
      </c>
      <c r="D76" t="s">
        <v>46</v>
      </c>
      <c r="E76" t="s">
        <v>39</v>
      </c>
      <c r="F76">
        <v>2647970560</v>
      </c>
      <c r="G76">
        <v>1.6104000000000001</v>
      </c>
      <c r="H76">
        <v>-2.23E-2</v>
      </c>
      <c r="I76">
        <v>2.23</v>
      </c>
      <c r="J76">
        <v>0.92049999999999998</v>
      </c>
      <c r="K76">
        <v>14.92</v>
      </c>
      <c r="L76">
        <v>4.0099999999999997E-2</v>
      </c>
      <c r="N76">
        <v>5700000</v>
      </c>
      <c r="O76">
        <v>16.52</v>
      </c>
      <c r="P76">
        <v>2024</v>
      </c>
      <c r="Q76">
        <v>299300000</v>
      </c>
      <c r="R76">
        <v>482000000</v>
      </c>
      <c r="S76">
        <v>476300000</v>
      </c>
      <c r="T76">
        <v>441900000</v>
      </c>
      <c r="U76">
        <v>6419900000</v>
      </c>
      <c r="V76">
        <v>1346600000</v>
      </c>
      <c r="W76">
        <v>273200000</v>
      </c>
      <c r="X76">
        <v>1073400000</v>
      </c>
      <c r="Y76">
        <v>275500000</v>
      </c>
      <c r="Z76" s="1">
        <v>46083</v>
      </c>
      <c r="AA76">
        <v>500</v>
      </c>
      <c r="AB76">
        <v>541221287</v>
      </c>
      <c r="AC76">
        <v>10.696400000000001</v>
      </c>
      <c r="AD76">
        <v>25</v>
      </c>
      <c r="AE76">
        <v>7.7061999999999999</v>
      </c>
      <c r="AF76">
        <v>0.56330000000000002</v>
      </c>
      <c r="AG76">
        <v>10.696396642118975</v>
      </c>
      <c r="AH76">
        <v>25</v>
      </c>
      <c r="AI76">
        <v>7.7061842272679444</v>
      </c>
      <c r="AJ76">
        <v>14.090413925027974</v>
      </c>
      <c r="AK76">
        <v>5.4937148547717847</v>
      </c>
    </row>
    <row r="77" spans="1:37" x14ac:dyDescent="0.35">
      <c r="A77">
        <v>57</v>
      </c>
      <c r="B77" t="s">
        <v>161</v>
      </c>
      <c r="C77" t="s">
        <v>162</v>
      </c>
      <c r="D77" t="s">
        <v>42</v>
      </c>
      <c r="E77" t="s">
        <v>43</v>
      </c>
      <c r="F77">
        <v>3479629312</v>
      </c>
      <c r="G77">
        <v>0.3715</v>
      </c>
      <c r="H77">
        <v>0.23319999999999999</v>
      </c>
      <c r="I77">
        <v>2.4500000000000002</v>
      </c>
      <c r="J77">
        <v>8.7800000000000003E-2</v>
      </c>
      <c r="K77">
        <v>7.37</v>
      </c>
      <c r="L77">
        <v>0.13100000000000001</v>
      </c>
      <c r="N77">
        <v>862600000</v>
      </c>
      <c r="O77">
        <v>8.89</v>
      </c>
      <c r="P77">
        <v>2024</v>
      </c>
      <c r="Q77">
        <v>3632600000</v>
      </c>
      <c r="R77">
        <v>1349400000</v>
      </c>
      <c r="S77">
        <v>486800000</v>
      </c>
      <c r="T77">
        <v>258900000</v>
      </c>
      <c r="U77">
        <v>8615000000</v>
      </c>
      <c r="V77">
        <v>4566000000</v>
      </c>
      <c r="W77">
        <v>1262400000</v>
      </c>
      <c r="X77">
        <v>3303600000</v>
      </c>
      <c r="Y77">
        <v>319000000</v>
      </c>
      <c r="Z77" s="1">
        <v>46080</v>
      </c>
      <c r="AA77">
        <v>17.54</v>
      </c>
      <c r="AB77">
        <v>212951611</v>
      </c>
      <c r="AC77">
        <v>23.0854</v>
      </c>
      <c r="AD77">
        <v>13.0739</v>
      </c>
      <c r="AE77">
        <v>7.3715000000000002</v>
      </c>
      <c r="AF77">
        <v>-0.69769999999999999</v>
      </c>
      <c r="AG77">
        <v>23.085401703185124</v>
      </c>
      <c r="AH77">
        <v>13.073938655291489</v>
      </c>
      <c r="AI77">
        <v>7.3714596010476763</v>
      </c>
      <c r="AJ77">
        <v>15.367780158175799</v>
      </c>
      <c r="AK77">
        <v>2.578649260412035</v>
      </c>
    </row>
    <row r="78" spans="1:37" x14ac:dyDescent="0.35">
      <c r="A78">
        <v>97</v>
      </c>
      <c r="B78" t="s">
        <v>246</v>
      </c>
      <c r="C78" t="s">
        <v>247</v>
      </c>
      <c r="D78" t="s">
        <v>35</v>
      </c>
      <c r="E78" t="s">
        <v>32</v>
      </c>
      <c r="F78">
        <v>13184394240</v>
      </c>
      <c r="G78">
        <v>0.1145</v>
      </c>
      <c r="H78">
        <v>7.4300000000000005E-2</v>
      </c>
      <c r="I78">
        <v>0.91</v>
      </c>
      <c r="J78">
        <v>4.9200000000000001E-2</v>
      </c>
      <c r="L78">
        <v>5.8999999999999997E-2</v>
      </c>
      <c r="N78">
        <v>2211000000</v>
      </c>
      <c r="O78">
        <v>7.69</v>
      </c>
      <c r="P78">
        <v>2024</v>
      </c>
      <c r="Q78">
        <v>39719000000</v>
      </c>
      <c r="R78">
        <v>4549000000</v>
      </c>
      <c r="S78">
        <v>2338000000</v>
      </c>
      <c r="T78">
        <v>1168000000</v>
      </c>
      <c r="U78">
        <v>36966000000</v>
      </c>
      <c r="V78">
        <v>6878000000</v>
      </c>
      <c r="W78">
        <v>2720000000</v>
      </c>
      <c r="X78">
        <v>4158000000</v>
      </c>
      <c r="Y78">
        <v>1954000000</v>
      </c>
      <c r="Z78" s="1">
        <v>46085</v>
      </c>
      <c r="AA78">
        <v>65.92</v>
      </c>
      <c r="AB78">
        <v>200005982</v>
      </c>
      <c r="AC78">
        <v>15.3805</v>
      </c>
      <c r="AD78">
        <v>4.7213000000000003</v>
      </c>
      <c r="AE78">
        <v>11.3338</v>
      </c>
      <c r="AF78">
        <v>-0.30459999999999998</v>
      </c>
      <c r="AG78">
        <v>15.380458829590559</v>
      </c>
      <c r="AH78">
        <v>4.7213081454397727</v>
      </c>
      <c r="AI78">
        <v>11.333828082115872</v>
      </c>
      <c r="AJ78">
        <v>10.968724400102916</v>
      </c>
      <c r="AK78">
        <v>2.8983060540778194</v>
      </c>
    </row>
    <row r="79" spans="1:37" x14ac:dyDescent="0.35">
      <c r="A79">
        <v>59</v>
      </c>
      <c r="B79" t="s">
        <v>165</v>
      </c>
      <c r="C79" t="s">
        <v>166</v>
      </c>
      <c r="D79" t="s">
        <v>46</v>
      </c>
      <c r="E79" t="s">
        <v>167</v>
      </c>
      <c r="F79">
        <v>1682595968</v>
      </c>
      <c r="G79">
        <v>0.74019999999999997</v>
      </c>
      <c r="H79">
        <v>4.2299999999999997E-2</v>
      </c>
      <c r="I79">
        <v>3.33</v>
      </c>
      <c r="J79">
        <v>0.1953</v>
      </c>
      <c r="K79">
        <v>8.42</v>
      </c>
      <c r="L79">
        <v>0.1512</v>
      </c>
      <c r="N79">
        <v>5500000</v>
      </c>
      <c r="O79">
        <v>20.93</v>
      </c>
      <c r="P79">
        <v>2024</v>
      </c>
      <c r="Q79">
        <v>288800000</v>
      </c>
      <c r="R79">
        <v>140800000</v>
      </c>
      <c r="S79">
        <v>135700000</v>
      </c>
      <c r="T79">
        <v>107800000</v>
      </c>
      <c r="U79">
        <v>2595200000</v>
      </c>
      <c r="V79">
        <v>982900000</v>
      </c>
      <c r="W79">
        <v>214500000</v>
      </c>
      <c r="X79">
        <v>768400000</v>
      </c>
      <c r="Y79">
        <v>42600000</v>
      </c>
      <c r="Z79" s="1">
        <v>46083</v>
      </c>
      <c r="AA79">
        <v>111.36409999999999</v>
      </c>
      <c r="AB79">
        <v>1505897102</v>
      </c>
      <c r="AC79">
        <v>13.828799999999999</v>
      </c>
      <c r="AD79">
        <v>25</v>
      </c>
      <c r="AE79">
        <v>6.3727</v>
      </c>
      <c r="AF79">
        <v>-1.0505</v>
      </c>
      <c r="AG79">
        <v>13.828802618419846</v>
      </c>
      <c r="AH79">
        <v>25</v>
      </c>
      <c r="AI79">
        <v>6.3726969750047537</v>
      </c>
      <c r="AJ79">
        <v>14.943330139869364</v>
      </c>
      <c r="AK79">
        <v>11.950255454545454</v>
      </c>
    </row>
    <row r="80" spans="1:37" x14ac:dyDescent="0.35">
      <c r="A80">
        <v>76</v>
      </c>
      <c r="B80" t="s">
        <v>203</v>
      </c>
      <c r="C80" t="s">
        <v>204</v>
      </c>
      <c r="D80" t="s">
        <v>46</v>
      </c>
      <c r="E80" t="s">
        <v>43</v>
      </c>
      <c r="F80">
        <v>6343170560</v>
      </c>
      <c r="G80">
        <v>0.52210000000000001</v>
      </c>
      <c r="H80">
        <v>6.0600000000000001E-2</v>
      </c>
      <c r="I80">
        <v>14.63</v>
      </c>
      <c r="J80">
        <v>0.46710000000000002</v>
      </c>
      <c r="L80">
        <v>0.14649999999999999</v>
      </c>
      <c r="N80">
        <v>114700000</v>
      </c>
      <c r="O80">
        <v>20.81</v>
      </c>
      <c r="P80">
        <v>2024</v>
      </c>
      <c r="Q80">
        <v>1275500000</v>
      </c>
      <c r="R80">
        <v>665900000</v>
      </c>
      <c r="S80">
        <v>551200000</v>
      </c>
      <c r="T80">
        <v>68100000</v>
      </c>
      <c r="U80">
        <v>24888300000</v>
      </c>
      <c r="V80">
        <v>10748500000</v>
      </c>
      <c r="W80">
        <v>1006900000</v>
      </c>
      <c r="X80">
        <v>9741600000</v>
      </c>
      <c r="Y80">
        <v>595800000</v>
      </c>
      <c r="Z80" s="1">
        <v>46085</v>
      </c>
      <c r="AA80">
        <v>57.25</v>
      </c>
      <c r="AB80">
        <v>110701059</v>
      </c>
      <c r="AC80">
        <v>14.716200000000001</v>
      </c>
      <c r="AD80">
        <v>17.968499999999999</v>
      </c>
      <c r="AE80">
        <v>3.5417999999999998</v>
      </c>
      <c r="AF80">
        <v>-8.0665999999999993</v>
      </c>
      <c r="AG80">
        <v>14.716156014183099</v>
      </c>
      <c r="AH80">
        <v>17.968515133048953</v>
      </c>
      <c r="AI80">
        <v>3.5418384151051323</v>
      </c>
      <c r="AJ80">
        <v>12.339568470119465</v>
      </c>
      <c r="AK80">
        <v>9.5257104069680132</v>
      </c>
    </row>
    <row r="81" spans="1:37" x14ac:dyDescent="0.35">
      <c r="A81">
        <v>60</v>
      </c>
      <c r="B81" t="s">
        <v>168</v>
      </c>
      <c r="C81" t="s">
        <v>169</v>
      </c>
      <c r="D81" t="s">
        <v>31</v>
      </c>
      <c r="E81" t="s">
        <v>43</v>
      </c>
      <c r="F81">
        <v>8661908480</v>
      </c>
      <c r="G81">
        <v>8.8300000000000003E-2</v>
      </c>
      <c r="H81">
        <v>9.6000000000000002E-2</v>
      </c>
      <c r="I81">
        <v>2.3199999999999998</v>
      </c>
      <c r="J81">
        <v>8.8999999999999999E-3</v>
      </c>
      <c r="L81">
        <v>0.1241</v>
      </c>
      <c r="N81">
        <v>362019000</v>
      </c>
      <c r="O81">
        <v>14.44</v>
      </c>
      <c r="P81">
        <v>2024</v>
      </c>
      <c r="Q81">
        <v>9919712000</v>
      </c>
      <c r="R81">
        <v>875868000</v>
      </c>
      <c r="S81">
        <v>513849000</v>
      </c>
      <c r="T81">
        <v>273175000</v>
      </c>
      <c r="U81">
        <v>9986725000</v>
      </c>
      <c r="V81">
        <v>2745514000</v>
      </c>
      <c r="W81">
        <v>713637000</v>
      </c>
      <c r="X81">
        <v>2031877000</v>
      </c>
      <c r="Y81">
        <v>88553000</v>
      </c>
      <c r="Z81" s="1">
        <v>46085</v>
      </c>
      <c r="AA81">
        <v>51.05</v>
      </c>
      <c r="AB81">
        <v>170175007</v>
      </c>
      <c r="AC81">
        <v>16.432700000000001</v>
      </c>
      <c r="AD81">
        <v>3.8698000000000001</v>
      </c>
      <c r="AE81">
        <v>7.5639000000000003</v>
      </c>
      <c r="AF81">
        <v>-1.1516</v>
      </c>
      <c r="AG81">
        <v>16.4326756977907</v>
      </c>
      <c r="AH81">
        <v>3.8697948405443836</v>
      </c>
      <c r="AI81">
        <v>7.5638895990623123</v>
      </c>
      <c r="AJ81">
        <v>10.003175610998287</v>
      </c>
      <c r="AK81">
        <v>9.8895135796718225</v>
      </c>
    </row>
    <row r="82" spans="1:37" x14ac:dyDescent="0.35">
      <c r="A82">
        <v>102</v>
      </c>
      <c r="B82" t="s">
        <v>257</v>
      </c>
      <c r="C82" t="s">
        <v>258</v>
      </c>
      <c r="D82" t="s">
        <v>62</v>
      </c>
      <c r="E82" t="s">
        <v>32</v>
      </c>
      <c r="F82">
        <v>440593376</v>
      </c>
      <c r="G82">
        <v>0</v>
      </c>
      <c r="H82">
        <v>2.8000000000000001E-2</v>
      </c>
      <c r="I82">
        <v>0</v>
      </c>
      <c r="J82">
        <v>6.6E-3</v>
      </c>
      <c r="L82">
        <v>-1.8293999999999999</v>
      </c>
      <c r="N82">
        <v>0</v>
      </c>
      <c r="O82">
        <v>-3.46</v>
      </c>
      <c r="P82">
        <v>2024</v>
      </c>
      <c r="Q82">
        <v>107767000</v>
      </c>
      <c r="R82">
        <v>0</v>
      </c>
      <c r="S82">
        <v>0</v>
      </c>
      <c r="T82">
        <v>47514000</v>
      </c>
      <c r="U82">
        <v>913687000</v>
      </c>
      <c r="V82">
        <v>139003000</v>
      </c>
      <c r="W82">
        <v>23966000</v>
      </c>
      <c r="X82">
        <v>115037000</v>
      </c>
      <c r="Y82">
        <v>714000</v>
      </c>
      <c r="Z82" s="1">
        <v>46085</v>
      </c>
      <c r="AA82">
        <v>24.75</v>
      </c>
      <c r="AB82">
        <v>17801751</v>
      </c>
      <c r="AC82">
        <v>13.135400000000001</v>
      </c>
      <c r="AD82">
        <v>1</v>
      </c>
      <c r="AE82">
        <v>19.4117</v>
      </c>
      <c r="AF82">
        <v>3.9199999999999999E-2</v>
      </c>
      <c r="AG82">
        <v>13.135406249052936</v>
      </c>
      <c r="AH82">
        <v>1</v>
      </c>
      <c r="AI82">
        <v>19.411656553748074</v>
      </c>
      <c r="AJ82">
        <v>11.377659465745596</v>
      </c>
      <c r="AK82" t="e">
        <v>#NUM!</v>
      </c>
    </row>
    <row r="83" spans="1:37" x14ac:dyDescent="0.35">
      <c r="A83">
        <v>62</v>
      </c>
      <c r="B83" t="s">
        <v>172</v>
      </c>
      <c r="C83" t="s">
        <v>173</v>
      </c>
      <c r="D83" t="s">
        <v>62</v>
      </c>
      <c r="E83" t="s">
        <v>50</v>
      </c>
      <c r="F83">
        <v>11783246848</v>
      </c>
      <c r="G83">
        <v>0</v>
      </c>
      <c r="H83">
        <v>1.1599999999999999E-2</v>
      </c>
      <c r="I83">
        <v>0</v>
      </c>
      <c r="J83">
        <v>0</v>
      </c>
      <c r="L83">
        <v>0.17469999999999999</v>
      </c>
      <c r="N83">
        <v>25791000</v>
      </c>
      <c r="O83">
        <v>0</v>
      </c>
      <c r="Z83" s="1">
        <v>46085</v>
      </c>
      <c r="AA83">
        <v>19.21</v>
      </c>
      <c r="AB83">
        <v>611792921</v>
      </c>
      <c r="AC83">
        <v>12.340199999999999</v>
      </c>
      <c r="AD83">
        <v>1</v>
      </c>
      <c r="AE83">
        <v>19.4117</v>
      </c>
      <c r="AF83">
        <v>1.6199999999999999E-2</v>
      </c>
      <c r="AG83">
        <v>12.340182440827947</v>
      </c>
      <c r="AH83">
        <v>1</v>
      </c>
      <c r="AI83">
        <v>19.411656553748074</v>
      </c>
      <c r="AJ83">
        <v>11.0595699424556</v>
      </c>
    </row>
    <row r="84" spans="1:37" x14ac:dyDescent="0.35">
      <c r="A84">
        <v>63</v>
      </c>
      <c r="B84" t="s">
        <v>174</v>
      </c>
      <c r="C84" t="s">
        <v>175</v>
      </c>
      <c r="D84" t="s">
        <v>106</v>
      </c>
      <c r="E84" t="s">
        <v>32</v>
      </c>
      <c r="F84">
        <v>31683137536</v>
      </c>
      <c r="G84">
        <v>0.21010000000000001</v>
      </c>
      <c r="H84">
        <v>5.7500000000000002E-2</v>
      </c>
      <c r="I84">
        <v>1.1399999999999999</v>
      </c>
      <c r="J84">
        <v>6.6699999999999995E-2</v>
      </c>
      <c r="L84">
        <v>4.3299999999999998E-2</v>
      </c>
      <c r="N84">
        <v>1545000000</v>
      </c>
      <c r="O84">
        <v>8.65</v>
      </c>
      <c r="P84">
        <v>2024</v>
      </c>
      <c r="Q84">
        <v>21156400000</v>
      </c>
      <c r="R84">
        <v>4444700000</v>
      </c>
      <c r="S84">
        <v>2899700000</v>
      </c>
      <c r="T84">
        <v>1781800000</v>
      </c>
      <c r="U84">
        <v>37301700000</v>
      </c>
      <c r="V84">
        <v>8195900000</v>
      </c>
      <c r="W84">
        <v>3120300000</v>
      </c>
      <c r="X84">
        <v>5075600000</v>
      </c>
      <c r="Y84">
        <v>1410100000</v>
      </c>
      <c r="Z84" s="1">
        <v>46085</v>
      </c>
      <c r="AA84">
        <v>179.5</v>
      </c>
      <c r="AB84">
        <v>175968536</v>
      </c>
      <c r="AC84">
        <v>14.565799999999999</v>
      </c>
      <c r="AD84">
        <v>7.8284000000000002</v>
      </c>
      <c r="AE84">
        <v>10.379799999999999</v>
      </c>
      <c r="AF84">
        <v>-0.35139999999999999</v>
      </c>
      <c r="AG84">
        <v>14.565839318725935</v>
      </c>
      <c r="AH84">
        <v>7.8283566930733297</v>
      </c>
      <c r="AI84">
        <v>10.379786514653919</v>
      </c>
      <c r="AJ84">
        <v>11.288778689808549</v>
      </c>
      <c r="AK84">
        <v>7.1282960685760566</v>
      </c>
    </row>
    <row r="85" spans="1:37" x14ac:dyDescent="0.35">
      <c r="A85">
        <v>144</v>
      </c>
      <c r="B85" t="s">
        <v>340</v>
      </c>
      <c r="C85" t="s">
        <v>341</v>
      </c>
      <c r="D85" t="s">
        <v>49</v>
      </c>
      <c r="E85" t="s">
        <v>217</v>
      </c>
      <c r="F85">
        <v>39902015488</v>
      </c>
      <c r="G85">
        <v>0.22520000000000001</v>
      </c>
      <c r="H85">
        <v>7.51E-2</v>
      </c>
      <c r="I85">
        <v>3.8</v>
      </c>
      <c r="J85">
        <v>3.73E-2</v>
      </c>
      <c r="L85">
        <v>5.2900000000000003E-2</v>
      </c>
      <c r="N85">
        <v>1519000000</v>
      </c>
      <c r="O85">
        <v>12.69</v>
      </c>
      <c r="P85">
        <v>2024</v>
      </c>
      <c r="Q85">
        <v>22419000000</v>
      </c>
      <c r="R85">
        <v>5803000000</v>
      </c>
      <c r="S85">
        <v>4368000000</v>
      </c>
      <c r="T85">
        <v>2387000000</v>
      </c>
      <c r="U85">
        <v>32450000000</v>
      </c>
      <c r="V85">
        <v>15681000000</v>
      </c>
      <c r="W85">
        <v>1112000000</v>
      </c>
      <c r="X85">
        <v>14569000000</v>
      </c>
      <c r="Y85">
        <v>779000000</v>
      </c>
      <c r="Z85" s="1">
        <v>46085</v>
      </c>
      <c r="AA85">
        <v>189.4</v>
      </c>
      <c r="AB85">
        <v>210898609</v>
      </c>
      <c r="AC85">
        <v>15.4193</v>
      </c>
      <c r="AD85">
        <v>8.3191000000000006</v>
      </c>
      <c r="AE85">
        <v>5.9893000000000001</v>
      </c>
      <c r="AF85">
        <v>-1.9046000000000001</v>
      </c>
      <c r="AG85">
        <v>15.419250234869827</v>
      </c>
      <c r="AH85">
        <v>8.3191143611618941</v>
      </c>
      <c r="AI85">
        <v>5.989294134538703</v>
      </c>
      <c r="AJ85">
        <v>10.46022264265811</v>
      </c>
      <c r="AK85">
        <v>6.8761012386696541</v>
      </c>
    </row>
    <row r="86" spans="1:37" x14ac:dyDescent="0.35">
      <c r="A86">
        <v>64</v>
      </c>
      <c r="B86" t="s">
        <v>176</v>
      </c>
      <c r="C86" t="s">
        <v>177</v>
      </c>
      <c r="D86" t="s">
        <v>46</v>
      </c>
      <c r="E86" t="s">
        <v>69</v>
      </c>
      <c r="F86">
        <v>5789136896</v>
      </c>
      <c r="G86">
        <v>1.0203</v>
      </c>
      <c r="H86">
        <v>6.3600000000000004E-2</v>
      </c>
      <c r="I86">
        <v>0</v>
      </c>
      <c r="J86">
        <v>5.9700000000000003E-2</v>
      </c>
      <c r="L86">
        <v>0.1454</v>
      </c>
      <c r="N86">
        <v>12766000</v>
      </c>
      <c r="O86">
        <v>20.98</v>
      </c>
      <c r="P86">
        <v>2024</v>
      </c>
      <c r="Q86">
        <v>438362000</v>
      </c>
      <c r="R86">
        <v>523429000</v>
      </c>
      <c r="S86">
        <v>511511000</v>
      </c>
      <c r="T86">
        <v>435499000</v>
      </c>
      <c r="U86">
        <v>8203210000</v>
      </c>
      <c r="V86">
        <v>3063752000</v>
      </c>
      <c r="W86">
        <v>10374000</v>
      </c>
      <c r="X86">
        <v>3053378000</v>
      </c>
      <c r="Y86">
        <v>29267000</v>
      </c>
      <c r="Z86" s="1">
        <v>46085</v>
      </c>
      <c r="AA86">
        <v>24.58</v>
      </c>
      <c r="AB86">
        <v>235139589</v>
      </c>
      <c r="AC86">
        <v>14.861599999999999</v>
      </c>
      <c r="AD86">
        <v>25</v>
      </c>
      <c r="AE86">
        <v>19.4117</v>
      </c>
      <c r="AF86">
        <v>1.3133999999999999</v>
      </c>
      <c r="AG86">
        <v>14.861623783980352</v>
      </c>
      <c r="AH86">
        <v>25</v>
      </c>
      <c r="AI86">
        <v>19.411656553748074</v>
      </c>
      <c r="AJ86">
        <v>19.268146479716563</v>
      </c>
      <c r="AK86">
        <v>11.060023223780112</v>
      </c>
    </row>
    <row r="87" spans="1:37" x14ac:dyDescent="0.35">
      <c r="A87">
        <v>65</v>
      </c>
      <c r="B87" t="s">
        <v>178</v>
      </c>
      <c r="C87" t="s">
        <v>179</v>
      </c>
      <c r="D87" t="s">
        <v>62</v>
      </c>
      <c r="E87" t="s">
        <v>109</v>
      </c>
      <c r="F87">
        <v>14257366016</v>
      </c>
      <c r="G87">
        <v>0.68710000000000004</v>
      </c>
      <c r="H87">
        <v>4.7800000000000002E-2</v>
      </c>
      <c r="I87">
        <v>1.44</v>
      </c>
      <c r="J87">
        <v>7.1300000000000002E-2</v>
      </c>
      <c r="L87">
        <v>8.8999999999999996E-2</v>
      </c>
      <c r="N87">
        <v>199900000</v>
      </c>
      <c r="O87">
        <v>14.15</v>
      </c>
      <c r="P87">
        <v>2024</v>
      </c>
      <c r="Q87">
        <v>1627000000</v>
      </c>
      <c r="R87">
        <v>1107600000</v>
      </c>
      <c r="S87">
        <v>918900000</v>
      </c>
      <c r="T87">
        <v>585600000</v>
      </c>
      <c r="U87">
        <v>279101848000</v>
      </c>
      <c r="V87">
        <v>3115527000</v>
      </c>
      <c r="W87">
        <v>1673455000</v>
      </c>
      <c r="X87">
        <v>1442072000</v>
      </c>
      <c r="Y87">
        <v>87300000</v>
      </c>
      <c r="Z87" s="1">
        <v>46085</v>
      </c>
      <c r="AA87">
        <v>137.6</v>
      </c>
      <c r="AB87">
        <v>101721940</v>
      </c>
      <c r="AC87">
        <v>14.095499999999999</v>
      </c>
      <c r="AD87">
        <v>23.331099999999999</v>
      </c>
      <c r="AE87">
        <v>9.4056999999999995</v>
      </c>
      <c r="AF87">
        <v>2.7400000000000001E-2</v>
      </c>
      <c r="AG87">
        <v>14.095493529714814</v>
      </c>
      <c r="AH87">
        <v>23.331098923420676</v>
      </c>
      <c r="AI87">
        <v>9.4056849142339267</v>
      </c>
      <c r="AJ87">
        <v>15.459232563182308</v>
      </c>
      <c r="AK87">
        <v>12.872305901047309</v>
      </c>
    </row>
    <row r="88" spans="1:37" x14ac:dyDescent="0.35">
      <c r="A88">
        <v>149</v>
      </c>
      <c r="B88" t="s">
        <v>350</v>
      </c>
      <c r="C88" t="s">
        <v>351</v>
      </c>
      <c r="D88" t="s">
        <v>35</v>
      </c>
      <c r="E88" t="s">
        <v>32</v>
      </c>
      <c r="F88">
        <v>5148495872</v>
      </c>
      <c r="G88">
        <v>1.95E-2</v>
      </c>
      <c r="H88">
        <v>6.9699999999999998E-2</v>
      </c>
      <c r="I88">
        <v>7.75</v>
      </c>
      <c r="J88">
        <v>2.2700000000000001E-2</v>
      </c>
      <c r="L88">
        <v>0.28689999999999999</v>
      </c>
      <c r="N88">
        <v>465400000</v>
      </c>
      <c r="O88">
        <v>19</v>
      </c>
      <c r="P88">
        <v>2024</v>
      </c>
      <c r="Q88">
        <v>12294800000</v>
      </c>
      <c r="R88">
        <v>239900000</v>
      </c>
      <c r="S88">
        <v>-225500000</v>
      </c>
      <c r="T88">
        <v>-882400000</v>
      </c>
      <c r="U88">
        <v>12420400000</v>
      </c>
      <c r="V88">
        <v>5667400000</v>
      </c>
      <c r="W88">
        <v>3808700000</v>
      </c>
      <c r="X88">
        <v>1858700000</v>
      </c>
      <c r="Y88">
        <v>279500000</v>
      </c>
      <c r="Z88" s="1">
        <v>46085</v>
      </c>
      <c r="AA88">
        <v>17.254999999999999</v>
      </c>
      <c r="AB88">
        <v>300116319</v>
      </c>
      <c r="AC88">
        <v>15.157400000000001</v>
      </c>
      <c r="AD88">
        <v>1.6337999999999999</v>
      </c>
      <c r="AE88">
        <v>4.3948</v>
      </c>
      <c r="AF88">
        <v>-4.5289999999999999</v>
      </c>
      <c r="AG88">
        <v>15.157408249234768</v>
      </c>
      <c r="AH88">
        <v>1.6337599024984766</v>
      </c>
      <c r="AI88">
        <v>4.3947578471439055</v>
      </c>
      <c r="AJ88">
        <v>7.8715186245866224</v>
      </c>
      <c r="AK88">
        <v>21.461008220091706</v>
      </c>
    </row>
    <row r="89" spans="1:37" x14ac:dyDescent="0.35">
      <c r="A89">
        <v>66</v>
      </c>
      <c r="B89" t="s">
        <v>180</v>
      </c>
      <c r="C89" t="s">
        <v>181</v>
      </c>
      <c r="D89" t="s">
        <v>62</v>
      </c>
      <c r="E89" t="s">
        <v>36</v>
      </c>
      <c r="F89">
        <v>6277194752</v>
      </c>
      <c r="G89">
        <v>0</v>
      </c>
      <c r="H89">
        <v>-6.4799999999999996E-2</v>
      </c>
      <c r="I89">
        <v>0</v>
      </c>
      <c r="J89">
        <v>2.41E-2</v>
      </c>
      <c r="L89">
        <v>6.93E-2</v>
      </c>
      <c r="N89">
        <v>86850000</v>
      </c>
      <c r="O89">
        <v>0</v>
      </c>
      <c r="Z89" s="1">
        <v>46085</v>
      </c>
      <c r="AA89">
        <v>2.4340000000000002</v>
      </c>
      <c r="AB89">
        <v>2568410415</v>
      </c>
      <c r="AC89">
        <v>8.6356000000000002</v>
      </c>
      <c r="AD89">
        <v>1</v>
      </c>
      <c r="AE89">
        <v>19.4117</v>
      </c>
      <c r="AF89">
        <v>-9.0700000000000003E-2</v>
      </c>
      <c r="AG89">
        <v>8.6356032366578717</v>
      </c>
      <c r="AH89">
        <v>1</v>
      </c>
      <c r="AI89">
        <v>19.411656553748074</v>
      </c>
      <c r="AJ89">
        <v>9.5777382607875694</v>
      </c>
    </row>
    <row r="90" spans="1:37" x14ac:dyDescent="0.35">
      <c r="A90">
        <v>67</v>
      </c>
      <c r="B90" t="s">
        <v>182</v>
      </c>
      <c r="C90" t="s">
        <v>183</v>
      </c>
      <c r="D90" t="s">
        <v>31</v>
      </c>
      <c r="E90" t="s">
        <v>39</v>
      </c>
      <c r="F90">
        <v>1219529856</v>
      </c>
      <c r="G90">
        <v>0.1157</v>
      </c>
      <c r="H90">
        <v>1.9900000000000001E-2</v>
      </c>
      <c r="I90">
        <v>1.37</v>
      </c>
      <c r="J90">
        <v>4.4200000000000003E-2</v>
      </c>
      <c r="L90">
        <v>-2.8899999999999999E-2</v>
      </c>
      <c r="N90">
        <v>30300000</v>
      </c>
      <c r="O90">
        <v>17.59</v>
      </c>
      <c r="P90">
        <v>2024</v>
      </c>
      <c r="Q90">
        <v>977100000</v>
      </c>
      <c r="R90">
        <v>100300000</v>
      </c>
      <c r="S90">
        <v>49700000</v>
      </c>
      <c r="T90">
        <v>25900000</v>
      </c>
      <c r="U90">
        <v>1015800000</v>
      </c>
      <c r="V90">
        <v>275100000</v>
      </c>
      <c r="W90">
        <v>45500000</v>
      </c>
      <c r="X90">
        <v>229600000</v>
      </c>
      <c r="Y90">
        <v>43200000</v>
      </c>
      <c r="Z90" s="1">
        <v>46085</v>
      </c>
      <c r="AA90">
        <v>293.5</v>
      </c>
      <c r="AB90">
        <v>413399920</v>
      </c>
      <c r="AC90">
        <v>12.742599999999999</v>
      </c>
      <c r="AD90">
        <v>4.7603</v>
      </c>
      <c r="AE90">
        <v>9.6109000000000009</v>
      </c>
      <c r="AF90">
        <v>-0.65529999999999999</v>
      </c>
      <c r="AG90">
        <v>12.74264327060035</v>
      </c>
      <c r="AH90">
        <v>4.7603087548242939</v>
      </c>
      <c r="AI90">
        <v>9.6109175721001918</v>
      </c>
      <c r="AJ90">
        <v>9.4084252063174851</v>
      </c>
      <c r="AK90">
        <v>12.158822093718843</v>
      </c>
    </row>
    <row r="91" spans="1:37" x14ac:dyDescent="0.35">
      <c r="A91">
        <v>68</v>
      </c>
      <c r="B91" t="s">
        <v>184</v>
      </c>
      <c r="C91" t="s">
        <v>185</v>
      </c>
      <c r="D91" t="s">
        <v>35</v>
      </c>
      <c r="E91" t="s">
        <v>39</v>
      </c>
      <c r="F91">
        <v>15119721472</v>
      </c>
      <c r="G91">
        <v>0.22789999999999999</v>
      </c>
      <c r="H91">
        <v>6.4600000000000005E-2</v>
      </c>
      <c r="I91">
        <v>1.2</v>
      </c>
      <c r="J91">
        <v>2.5700000000000001E-2</v>
      </c>
      <c r="L91">
        <v>9.7699999999999995E-2</v>
      </c>
      <c r="N91">
        <v>311000000</v>
      </c>
      <c r="O91">
        <v>13</v>
      </c>
      <c r="P91">
        <v>2024</v>
      </c>
      <c r="Q91">
        <v>5491000000</v>
      </c>
      <c r="R91">
        <v>1349300000</v>
      </c>
      <c r="S91">
        <v>1103300000</v>
      </c>
      <c r="T91">
        <v>802300000</v>
      </c>
      <c r="U91">
        <v>4724300000</v>
      </c>
      <c r="V91">
        <v>1916700000</v>
      </c>
      <c r="W91">
        <v>188300000</v>
      </c>
      <c r="X91">
        <v>1728400000</v>
      </c>
      <c r="Y91">
        <v>188200000</v>
      </c>
      <c r="Z91" s="1">
        <v>46085</v>
      </c>
      <c r="AA91">
        <v>13040</v>
      </c>
      <c r="AB91">
        <v>115726916</v>
      </c>
      <c r="AC91">
        <v>14.9101</v>
      </c>
      <c r="AD91">
        <v>8.4069000000000003</v>
      </c>
      <c r="AE91">
        <v>10.1637</v>
      </c>
      <c r="AF91">
        <v>-0.35610000000000003</v>
      </c>
      <c r="AG91">
        <v>14.910113040579436</v>
      </c>
      <c r="AH91">
        <v>8.4068657322770655</v>
      </c>
      <c r="AI91">
        <v>10.163713068742574</v>
      </c>
      <c r="AJ91">
        <v>11.535218856537664</v>
      </c>
      <c r="AK91">
        <v>11.20560399614615</v>
      </c>
    </row>
    <row r="92" spans="1:37" x14ac:dyDescent="0.35">
      <c r="A92">
        <v>166</v>
      </c>
      <c r="B92" t="s">
        <v>384</v>
      </c>
      <c r="C92" t="s">
        <v>385</v>
      </c>
      <c r="D92" t="s">
        <v>49</v>
      </c>
      <c r="E92" t="s">
        <v>43</v>
      </c>
      <c r="F92">
        <v>16398235648</v>
      </c>
      <c r="G92">
        <v>0.28000000000000003</v>
      </c>
      <c r="H92">
        <v>1.8200000000000001E-2</v>
      </c>
      <c r="I92">
        <v>2.62</v>
      </c>
      <c r="J92">
        <v>0.13250000000000001</v>
      </c>
      <c r="L92">
        <v>-4.5400000000000003E-2</v>
      </c>
      <c r="N92">
        <v>318100000</v>
      </c>
      <c r="O92">
        <v>23.72</v>
      </c>
      <c r="P92">
        <v>2024</v>
      </c>
      <c r="Q92">
        <v>2780000000</v>
      </c>
      <c r="R92">
        <v>670500000</v>
      </c>
      <c r="S92">
        <v>368800000</v>
      </c>
      <c r="T92">
        <v>175100000</v>
      </c>
      <c r="U92">
        <v>8256400000</v>
      </c>
      <c r="V92">
        <v>2869600000</v>
      </c>
      <c r="W92">
        <v>678900000</v>
      </c>
      <c r="X92">
        <v>2190700000</v>
      </c>
      <c r="Y92">
        <v>339800000</v>
      </c>
      <c r="Z92" s="1">
        <v>46085</v>
      </c>
      <c r="AA92">
        <v>169</v>
      </c>
      <c r="AB92">
        <v>97290030</v>
      </c>
      <c r="AC92">
        <v>12.6602</v>
      </c>
      <c r="AD92">
        <v>10.100099999999999</v>
      </c>
      <c r="AE92">
        <v>7.1406999999999998</v>
      </c>
      <c r="AF92">
        <v>-1.2104999999999999</v>
      </c>
      <c r="AG92">
        <v>12.660211534381906</v>
      </c>
      <c r="AH92">
        <v>10.100142189721716</v>
      </c>
      <c r="AI92">
        <v>7.1406744525575352</v>
      </c>
      <c r="AJ92">
        <v>10.236329606436538</v>
      </c>
      <c r="AK92">
        <v>24.456727290082029</v>
      </c>
    </row>
    <row r="93" spans="1:37" x14ac:dyDescent="0.35">
      <c r="A93">
        <v>69</v>
      </c>
      <c r="B93" t="s">
        <v>186</v>
      </c>
      <c r="C93" t="s">
        <v>187</v>
      </c>
      <c r="D93" t="s">
        <v>106</v>
      </c>
      <c r="E93" t="s">
        <v>32</v>
      </c>
      <c r="F93">
        <v>6304979968</v>
      </c>
      <c r="G93">
        <v>0.1163</v>
      </c>
      <c r="H93">
        <v>0.13850000000000001</v>
      </c>
      <c r="I93">
        <v>1.88</v>
      </c>
      <c r="J93">
        <v>5.5399999999999998E-2</v>
      </c>
      <c r="L93">
        <v>1.83E-2</v>
      </c>
      <c r="N93">
        <v>1117000000</v>
      </c>
      <c r="O93">
        <v>4.63</v>
      </c>
      <c r="P93">
        <v>2024</v>
      </c>
      <c r="Q93">
        <v>15157000000</v>
      </c>
      <c r="R93">
        <v>1763000000</v>
      </c>
      <c r="S93">
        <v>646000000</v>
      </c>
      <c r="T93">
        <v>222000000</v>
      </c>
      <c r="U93">
        <v>19750000000</v>
      </c>
      <c r="V93">
        <v>3781000000</v>
      </c>
      <c r="W93">
        <v>461000000</v>
      </c>
      <c r="X93">
        <v>3320000000</v>
      </c>
      <c r="Y93">
        <v>840000000</v>
      </c>
      <c r="Z93" s="1">
        <v>46085</v>
      </c>
      <c r="AA93">
        <v>13.56</v>
      </c>
      <c r="AB93">
        <v>466000000</v>
      </c>
      <c r="AC93">
        <v>18.493500000000001</v>
      </c>
      <c r="AD93">
        <v>4.7797999999999998</v>
      </c>
      <c r="AE93">
        <v>8.3440999999999992</v>
      </c>
      <c r="AF93">
        <v>-0.79449999999999998</v>
      </c>
      <c r="AG93">
        <v>18.493469103251797</v>
      </c>
      <c r="AH93">
        <v>4.7798090595165554</v>
      </c>
      <c r="AI93">
        <v>8.3440945589613982</v>
      </c>
      <c r="AJ93">
        <v>11.334558726844104</v>
      </c>
      <c r="AK93">
        <v>3.5762790516165626</v>
      </c>
    </row>
    <row r="94" spans="1:37" x14ac:dyDescent="0.35">
      <c r="A94">
        <v>71</v>
      </c>
      <c r="B94" t="s">
        <v>190</v>
      </c>
      <c r="C94" t="s">
        <v>191</v>
      </c>
      <c r="D94" t="s">
        <v>192</v>
      </c>
      <c r="E94" t="s">
        <v>109</v>
      </c>
      <c r="F94">
        <v>5230405120</v>
      </c>
      <c r="G94">
        <v>0.3473</v>
      </c>
      <c r="H94">
        <v>0.21890000000000001</v>
      </c>
      <c r="I94">
        <v>3.94</v>
      </c>
      <c r="J94">
        <v>2.4199999999999999E-2</v>
      </c>
      <c r="L94">
        <v>6.93E-2</v>
      </c>
      <c r="N94">
        <v>66000000</v>
      </c>
      <c r="O94">
        <v>13.4</v>
      </c>
      <c r="P94">
        <v>2024</v>
      </c>
      <c r="Q94">
        <v>4784000000</v>
      </c>
      <c r="R94">
        <v>1200000000</v>
      </c>
      <c r="S94">
        <v>1130000000</v>
      </c>
      <c r="T94">
        <v>150000000</v>
      </c>
      <c r="U94">
        <v>17157000000</v>
      </c>
      <c r="V94">
        <v>8943000000</v>
      </c>
      <c r="W94">
        <v>806000000</v>
      </c>
      <c r="X94">
        <v>8137000000</v>
      </c>
      <c r="Y94">
        <v>116000000</v>
      </c>
      <c r="Z94" s="1">
        <v>46085</v>
      </c>
      <c r="AA94">
        <v>31.18</v>
      </c>
      <c r="AB94">
        <v>167964206</v>
      </c>
      <c r="AC94">
        <v>22.391999999999999</v>
      </c>
      <c r="AD94">
        <v>12.2874</v>
      </c>
      <c r="AE94">
        <v>5.8891999999999998</v>
      </c>
      <c r="AF94">
        <v>-1.6408</v>
      </c>
      <c r="AG94">
        <v>22.392005333818211</v>
      </c>
      <c r="AH94">
        <v>12.28742636603697</v>
      </c>
      <c r="AI94">
        <v>5.889191282488345</v>
      </c>
      <c r="AJ94">
        <v>14.409787428084879</v>
      </c>
      <c r="AK94">
        <v>4.3586709333333333</v>
      </c>
    </row>
    <row r="95" spans="1:37" x14ac:dyDescent="0.35">
      <c r="A95">
        <v>72</v>
      </c>
      <c r="B95" t="s">
        <v>193</v>
      </c>
      <c r="C95" t="s">
        <v>194</v>
      </c>
      <c r="D95" t="s">
        <v>31</v>
      </c>
      <c r="E95" t="s">
        <v>32</v>
      </c>
      <c r="F95">
        <v>10062724096</v>
      </c>
      <c r="G95">
        <v>0.14630000000000001</v>
      </c>
      <c r="H95">
        <v>4.7E-2</v>
      </c>
      <c r="I95">
        <v>-0.41</v>
      </c>
      <c r="J95">
        <v>4.3700000000000003E-2</v>
      </c>
      <c r="L95">
        <v>4.9200000000000001E-2</v>
      </c>
      <c r="N95">
        <v>219089000</v>
      </c>
      <c r="O95">
        <v>13.97</v>
      </c>
      <c r="P95">
        <v>2024</v>
      </c>
      <c r="Q95">
        <v>5422129000</v>
      </c>
      <c r="R95">
        <v>793508000</v>
      </c>
      <c r="S95">
        <v>574419000</v>
      </c>
      <c r="T95">
        <v>385043000</v>
      </c>
      <c r="U95">
        <v>6032165000</v>
      </c>
      <c r="V95">
        <v>294776000</v>
      </c>
      <c r="W95">
        <v>620915000</v>
      </c>
      <c r="X95">
        <v>-326139000</v>
      </c>
      <c r="Y95">
        <v>237105000</v>
      </c>
      <c r="Z95" s="1">
        <v>46085</v>
      </c>
      <c r="AA95">
        <v>62.55</v>
      </c>
      <c r="AB95">
        <v>160618100</v>
      </c>
      <c r="AC95">
        <v>14.056699999999999</v>
      </c>
      <c r="AD95">
        <v>5.7548000000000004</v>
      </c>
      <c r="AE95">
        <v>25</v>
      </c>
      <c r="AF95">
        <v>0.4874</v>
      </c>
      <c r="AG95">
        <v>14.056702124435546</v>
      </c>
      <c r="AH95">
        <v>5.7548242941295964</v>
      </c>
      <c r="AI95">
        <v>25</v>
      </c>
      <c r="AJ95">
        <v>14.849128138013098</v>
      </c>
      <c r="AK95">
        <v>12.681313982971817</v>
      </c>
    </row>
    <row r="96" spans="1:37" x14ac:dyDescent="0.35">
      <c r="A96">
        <v>73</v>
      </c>
      <c r="B96" t="s">
        <v>195</v>
      </c>
      <c r="C96" t="s">
        <v>196</v>
      </c>
      <c r="D96" t="s">
        <v>35</v>
      </c>
      <c r="E96" t="s">
        <v>197</v>
      </c>
      <c r="F96">
        <v>11131379712</v>
      </c>
      <c r="G96">
        <v>0.15290000000000001</v>
      </c>
      <c r="H96">
        <v>0.2225</v>
      </c>
      <c r="I96">
        <v>3.61</v>
      </c>
      <c r="J96">
        <v>1.72E-2</v>
      </c>
      <c r="L96">
        <v>-0.1086</v>
      </c>
      <c r="N96">
        <v>1310000000</v>
      </c>
      <c r="O96">
        <v>7.51</v>
      </c>
      <c r="P96">
        <v>2024</v>
      </c>
      <c r="Q96">
        <v>24620000000</v>
      </c>
      <c r="R96">
        <v>2538000000</v>
      </c>
      <c r="S96">
        <v>-972000000</v>
      </c>
      <c r="T96">
        <v>-2303000000</v>
      </c>
      <c r="U96">
        <v>52822000000</v>
      </c>
      <c r="V96">
        <v>17624000000</v>
      </c>
      <c r="W96">
        <v>4213000000</v>
      </c>
      <c r="X96">
        <v>13411000000</v>
      </c>
      <c r="Y96">
        <v>379000000</v>
      </c>
      <c r="Z96" s="1">
        <v>46085</v>
      </c>
      <c r="AA96">
        <v>34.979999999999997</v>
      </c>
      <c r="AB96">
        <v>319499993</v>
      </c>
      <c r="AC96">
        <v>22.566600000000001</v>
      </c>
      <c r="AD96">
        <v>5.9692999999999996</v>
      </c>
      <c r="AE96">
        <v>6.1349</v>
      </c>
      <c r="AF96">
        <v>-1.671</v>
      </c>
      <c r="AG96">
        <v>22.566566657574917</v>
      </c>
      <c r="AH96">
        <v>5.9693276457444648</v>
      </c>
      <c r="AI96">
        <v>6.1348729026429263</v>
      </c>
      <c r="AJ96">
        <v>12.657886827546184</v>
      </c>
      <c r="AK96">
        <v>4.385886411347518</v>
      </c>
    </row>
    <row r="97" spans="1:37" x14ac:dyDescent="0.35">
      <c r="A97">
        <v>74</v>
      </c>
      <c r="B97" t="s">
        <v>198</v>
      </c>
      <c r="C97" t="s">
        <v>199</v>
      </c>
      <c r="D97" t="s">
        <v>42</v>
      </c>
      <c r="E97" t="s">
        <v>200</v>
      </c>
      <c r="F97">
        <v>236779782144</v>
      </c>
      <c r="G97">
        <v>0.4864</v>
      </c>
      <c r="H97">
        <v>8.1500000000000003E-2</v>
      </c>
      <c r="I97">
        <v>0.3</v>
      </c>
      <c r="J97">
        <v>0.15579999999999999</v>
      </c>
      <c r="L97">
        <v>-4.0000000000000002E-4</v>
      </c>
      <c r="N97">
        <v>17304000000</v>
      </c>
      <c r="O97">
        <v>9.18</v>
      </c>
      <c r="P97">
        <v>2024</v>
      </c>
      <c r="Q97">
        <v>75487000000</v>
      </c>
      <c r="R97">
        <v>44273000000</v>
      </c>
      <c r="S97">
        <v>27329000000</v>
      </c>
      <c r="T97">
        <v>18336000000</v>
      </c>
      <c r="U97">
        <v>228808000000</v>
      </c>
      <c r="V97">
        <v>99889000000</v>
      </c>
      <c r="W97">
        <v>10369000000</v>
      </c>
      <c r="X97">
        <v>89520000000</v>
      </c>
      <c r="Y97">
        <v>13383000000</v>
      </c>
      <c r="Z97" s="1">
        <v>46085</v>
      </c>
      <c r="AA97">
        <v>173</v>
      </c>
      <c r="AB97">
        <v>1367795415</v>
      </c>
      <c r="AC97">
        <v>15.7296</v>
      </c>
      <c r="AD97">
        <v>16.808199999999999</v>
      </c>
      <c r="AE97">
        <v>15.4991</v>
      </c>
      <c r="AF97">
        <v>0.51780000000000004</v>
      </c>
      <c r="AG97">
        <v>15.729581477103967</v>
      </c>
      <c r="AH97">
        <v>16.808247003859435</v>
      </c>
      <c r="AI97">
        <v>15.499065079322667</v>
      </c>
      <c r="AJ97">
        <v>15.984026215796217</v>
      </c>
      <c r="AK97">
        <v>5.3481756859485463</v>
      </c>
    </row>
    <row r="98" spans="1:37" x14ac:dyDescent="0.35">
      <c r="A98">
        <v>78</v>
      </c>
      <c r="B98" t="s">
        <v>207</v>
      </c>
      <c r="C98" t="s">
        <v>208</v>
      </c>
      <c r="D98" t="s">
        <v>31</v>
      </c>
      <c r="E98" t="s">
        <v>32</v>
      </c>
      <c r="F98">
        <v>1518985728</v>
      </c>
      <c r="G98">
        <v>8.0600000000000005E-2</v>
      </c>
      <c r="H98">
        <v>0.1517</v>
      </c>
      <c r="I98">
        <v>1.43</v>
      </c>
      <c r="J98">
        <v>3.5900000000000001E-2</v>
      </c>
      <c r="L98">
        <v>7.17E-2</v>
      </c>
      <c r="N98">
        <v>162321000</v>
      </c>
      <c r="O98">
        <v>8.01</v>
      </c>
      <c r="P98">
        <v>2024</v>
      </c>
      <c r="Q98">
        <v>4290936000</v>
      </c>
      <c r="R98">
        <v>345838000</v>
      </c>
      <c r="S98">
        <v>183517000</v>
      </c>
      <c r="T98">
        <v>101524000</v>
      </c>
      <c r="U98">
        <v>4978375000</v>
      </c>
      <c r="V98">
        <v>1325211000</v>
      </c>
      <c r="W98">
        <v>831585000</v>
      </c>
      <c r="X98">
        <v>493626000</v>
      </c>
      <c r="Y98">
        <v>153853000</v>
      </c>
      <c r="Z98" s="1">
        <v>46085</v>
      </c>
      <c r="AA98">
        <v>22</v>
      </c>
      <c r="AB98">
        <v>69202080</v>
      </c>
      <c r="AC98">
        <v>19.133500000000002</v>
      </c>
      <c r="AD98">
        <v>3.6194999999999999</v>
      </c>
      <c r="AE98">
        <v>9.4343000000000004</v>
      </c>
      <c r="AF98">
        <v>-0.54890000000000005</v>
      </c>
      <c r="AG98">
        <v>19.133527290359716</v>
      </c>
      <c r="AH98">
        <v>3.6195409303270365</v>
      </c>
      <c r="AI98">
        <v>9.4342799406385733</v>
      </c>
      <c r="AJ98">
        <v>11.56955717743357</v>
      </c>
      <c r="AK98">
        <v>4.392188620105367</v>
      </c>
    </row>
    <row r="99" spans="1:37" x14ac:dyDescent="0.35">
      <c r="A99">
        <v>75</v>
      </c>
      <c r="B99" t="s">
        <v>201</v>
      </c>
      <c r="C99" t="s">
        <v>202</v>
      </c>
      <c r="D99" t="s">
        <v>91</v>
      </c>
      <c r="E99" t="s">
        <v>36</v>
      </c>
      <c r="F99">
        <v>10723998720</v>
      </c>
      <c r="G99">
        <v>0.11260000000000001</v>
      </c>
      <c r="H99">
        <v>3.1699999999999999E-2</v>
      </c>
      <c r="I99">
        <v>0.54</v>
      </c>
      <c r="J99">
        <v>2.29E-2</v>
      </c>
      <c r="L99">
        <v>0.1232</v>
      </c>
      <c r="N99">
        <v>119035000</v>
      </c>
      <c r="O99">
        <v>18.13</v>
      </c>
      <c r="P99">
        <v>2024</v>
      </c>
      <c r="Q99">
        <v>4842857000</v>
      </c>
      <c r="R99">
        <v>545285000</v>
      </c>
      <c r="S99">
        <v>438335000</v>
      </c>
      <c r="T99">
        <v>277541000</v>
      </c>
      <c r="U99">
        <v>4955684000</v>
      </c>
      <c r="V99">
        <v>850874000</v>
      </c>
      <c r="W99">
        <v>555147000</v>
      </c>
      <c r="X99">
        <v>295727000</v>
      </c>
      <c r="Y99">
        <v>111000000</v>
      </c>
      <c r="Z99" s="1">
        <v>46085</v>
      </c>
      <c r="AA99">
        <v>60.55</v>
      </c>
      <c r="AB99">
        <v>175228738</v>
      </c>
      <c r="AC99">
        <v>13.3148</v>
      </c>
      <c r="AD99">
        <v>4.6596000000000002</v>
      </c>
      <c r="AE99">
        <v>13.4666</v>
      </c>
      <c r="AF99">
        <v>-0.14449999999999999</v>
      </c>
      <c r="AG99">
        <v>13.314816498469551</v>
      </c>
      <c r="AH99">
        <v>4.659557180580947</v>
      </c>
      <c r="AI99">
        <v>13.466550027673112</v>
      </c>
      <c r="AJ99">
        <v>10.763758761864036</v>
      </c>
      <c r="AK99">
        <v>19.66677740997827</v>
      </c>
    </row>
    <row r="100" spans="1:37" x14ac:dyDescent="0.35">
      <c r="A100">
        <v>86</v>
      </c>
      <c r="B100" t="s">
        <v>224</v>
      </c>
      <c r="C100" t="s">
        <v>225</v>
      </c>
      <c r="D100" t="s">
        <v>58</v>
      </c>
      <c r="E100" t="s">
        <v>36</v>
      </c>
      <c r="F100">
        <v>2929597184</v>
      </c>
      <c r="G100">
        <v>0.13769999999999999</v>
      </c>
      <c r="H100">
        <v>4.7699999999999999E-2</v>
      </c>
      <c r="I100">
        <v>0.6</v>
      </c>
      <c r="J100">
        <v>4.7300000000000002E-2</v>
      </c>
      <c r="L100">
        <v>5.7000000000000002E-3</v>
      </c>
      <c r="N100">
        <v>0</v>
      </c>
      <c r="O100">
        <v>8.26</v>
      </c>
      <c r="P100">
        <v>2024</v>
      </c>
      <c r="Q100">
        <v>3140493000</v>
      </c>
      <c r="R100">
        <v>432558000</v>
      </c>
      <c r="S100">
        <v>324204000</v>
      </c>
      <c r="T100">
        <v>207867000</v>
      </c>
      <c r="U100">
        <v>4010946000</v>
      </c>
      <c r="V100">
        <v>510418000</v>
      </c>
      <c r="W100">
        <v>249885000</v>
      </c>
      <c r="X100">
        <v>260533000</v>
      </c>
      <c r="Y100">
        <v>148634000</v>
      </c>
      <c r="Z100" s="1">
        <v>46085</v>
      </c>
      <c r="AA100">
        <v>19.04</v>
      </c>
      <c r="AB100">
        <v>153820392</v>
      </c>
      <c r="AC100">
        <v>14.0906</v>
      </c>
      <c r="AD100">
        <v>5.4752999999999998</v>
      </c>
      <c r="AE100">
        <v>13.053699999999999</v>
      </c>
      <c r="AF100">
        <v>-0.128</v>
      </c>
      <c r="AG100">
        <v>14.090644604054907</v>
      </c>
      <c r="AH100">
        <v>5.4753199268738566</v>
      </c>
      <c r="AI100">
        <v>13.053695407806792</v>
      </c>
      <c r="AJ100">
        <v>11.194962442026156</v>
      </c>
      <c r="AK100">
        <v>6.7727268574387711</v>
      </c>
    </row>
    <row r="101" spans="1:37" x14ac:dyDescent="0.35">
      <c r="A101">
        <v>165</v>
      </c>
      <c r="B101" t="s">
        <v>382</v>
      </c>
      <c r="C101" t="s">
        <v>383</v>
      </c>
      <c r="D101" t="s">
        <v>53</v>
      </c>
      <c r="E101" t="s">
        <v>69</v>
      </c>
      <c r="F101">
        <v>13826993152</v>
      </c>
      <c r="G101">
        <v>0.42330000000000001</v>
      </c>
      <c r="H101">
        <v>-0.26989999999999997</v>
      </c>
      <c r="I101">
        <v>8.25</v>
      </c>
      <c r="J101">
        <v>1.2413000000000001</v>
      </c>
      <c r="L101">
        <v>0.15340000000000001</v>
      </c>
      <c r="N101">
        <v>618700000</v>
      </c>
      <c r="O101">
        <v>13.37</v>
      </c>
      <c r="P101">
        <v>2024</v>
      </c>
      <c r="Q101">
        <v>3767000000</v>
      </c>
      <c r="R101">
        <v>1594700000</v>
      </c>
      <c r="S101">
        <v>975600000</v>
      </c>
      <c r="T101">
        <v>450500000</v>
      </c>
      <c r="U101">
        <v>24927600000</v>
      </c>
      <c r="V101">
        <v>14828400000</v>
      </c>
      <c r="W101">
        <v>1669800000</v>
      </c>
      <c r="X101">
        <v>13158600000</v>
      </c>
      <c r="Y101">
        <v>4675900000</v>
      </c>
      <c r="Z101" s="1">
        <v>46085</v>
      </c>
      <c r="AA101">
        <v>126.3</v>
      </c>
      <c r="AB101">
        <v>109045691</v>
      </c>
      <c r="AC101">
        <v>1</v>
      </c>
      <c r="AD101">
        <v>14.7575</v>
      </c>
      <c r="AE101">
        <v>4.29</v>
      </c>
      <c r="AF101">
        <v>-4.8198999999999996</v>
      </c>
      <c r="AG101">
        <v>1</v>
      </c>
      <c r="AH101">
        <v>14.757464960390006</v>
      </c>
      <c r="AI101">
        <v>4.2900192336715133</v>
      </c>
      <c r="AJ101">
        <v>6.1142452582184568</v>
      </c>
      <c r="AK101">
        <v>8.6705920561861163</v>
      </c>
    </row>
    <row r="102" spans="1:37" x14ac:dyDescent="0.35">
      <c r="A102">
        <v>77</v>
      </c>
      <c r="B102" t="s">
        <v>205</v>
      </c>
      <c r="C102" t="s">
        <v>206</v>
      </c>
      <c r="D102" t="s">
        <v>49</v>
      </c>
      <c r="E102" t="s">
        <v>43</v>
      </c>
      <c r="F102">
        <v>13324484608</v>
      </c>
      <c r="G102">
        <v>0.31580000000000003</v>
      </c>
      <c r="H102">
        <v>6.08E-2</v>
      </c>
      <c r="I102">
        <v>-0.53</v>
      </c>
      <c r="J102">
        <v>0.21890000000000001</v>
      </c>
      <c r="L102">
        <v>7.5899999999999995E-2</v>
      </c>
      <c r="N102">
        <v>625200000</v>
      </c>
      <c r="O102">
        <v>9.5</v>
      </c>
      <c r="P102">
        <v>2024</v>
      </c>
      <c r="Q102">
        <v>3574500000</v>
      </c>
      <c r="R102">
        <v>1179300000</v>
      </c>
      <c r="S102">
        <v>473400000</v>
      </c>
      <c r="T102">
        <v>345900000</v>
      </c>
      <c r="U102">
        <v>6439000000</v>
      </c>
      <c r="V102">
        <v>426800000</v>
      </c>
      <c r="W102">
        <v>678100000</v>
      </c>
      <c r="X102">
        <v>-251300000</v>
      </c>
      <c r="Y102">
        <v>782500000</v>
      </c>
      <c r="Z102" s="1">
        <v>46085</v>
      </c>
      <c r="AA102">
        <v>161.69999999999999</v>
      </c>
      <c r="AB102">
        <v>82402504</v>
      </c>
      <c r="AC102">
        <v>14.725899999999999</v>
      </c>
      <c r="AD102">
        <v>11.2637</v>
      </c>
      <c r="AE102">
        <v>25</v>
      </c>
      <c r="AF102">
        <v>0.78210000000000002</v>
      </c>
      <c r="AG102">
        <v>14.725853865502916</v>
      </c>
      <c r="AH102">
        <v>11.263660369693277</v>
      </c>
      <c r="AI102">
        <v>25</v>
      </c>
      <c r="AJ102">
        <v>16.76943965710915</v>
      </c>
      <c r="AK102">
        <v>11.298638690748749</v>
      </c>
    </row>
    <row r="103" spans="1:37" x14ac:dyDescent="0.35">
      <c r="A103">
        <v>164</v>
      </c>
      <c r="B103" t="s">
        <v>380</v>
      </c>
      <c r="C103" t="s">
        <v>381</v>
      </c>
      <c r="D103" t="s">
        <v>31</v>
      </c>
      <c r="E103" t="s">
        <v>43</v>
      </c>
      <c r="F103">
        <v>5770764800</v>
      </c>
      <c r="G103">
        <v>0.34720000000000001</v>
      </c>
      <c r="H103">
        <v>9.7900000000000001E-2</v>
      </c>
      <c r="I103">
        <v>2.29</v>
      </c>
      <c r="J103">
        <v>0.19400000000000001</v>
      </c>
      <c r="L103">
        <v>0.14749999999999999</v>
      </c>
      <c r="N103">
        <v>963300000</v>
      </c>
      <c r="O103">
        <v>6.86</v>
      </c>
      <c r="P103">
        <v>2024</v>
      </c>
      <c r="Q103">
        <v>4573700000</v>
      </c>
      <c r="R103">
        <v>1588000000</v>
      </c>
      <c r="S103">
        <v>624700000</v>
      </c>
      <c r="T103">
        <v>337800000</v>
      </c>
      <c r="U103">
        <v>9387400000</v>
      </c>
      <c r="V103">
        <v>4264100000</v>
      </c>
      <c r="W103">
        <v>622100000</v>
      </c>
      <c r="X103">
        <v>3642000000</v>
      </c>
      <c r="Y103">
        <v>887400000</v>
      </c>
      <c r="Z103" s="1">
        <v>46085</v>
      </c>
      <c r="AA103">
        <v>24.98</v>
      </c>
      <c r="AB103">
        <v>229978776</v>
      </c>
      <c r="AC103">
        <v>16.524799999999999</v>
      </c>
      <c r="AD103">
        <v>12.2842</v>
      </c>
      <c r="AE103">
        <v>7.6105</v>
      </c>
      <c r="AF103">
        <v>-0.82030000000000003</v>
      </c>
      <c r="AG103">
        <v>16.524805285328959</v>
      </c>
      <c r="AH103">
        <v>12.284176315254925</v>
      </c>
      <c r="AI103">
        <v>7.6104561288601031</v>
      </c>
      <c r="AJ103">
        <v>12.578311847366091</v>
      </c>
      <c r="AK103">
        <v>3.6339828715365239</v>
      </c>
    </row>
    <row r="104" spans="1:37" x14ac:dyDescent="0.35">
      <c r="A104">
        <v>79</v>
      </c>
      <c r="B104" t="s">
        <v>209</v>
      </c>
      <c r="C104" t="s">
        <v>210</v>
      </c>
      <c r="D104" t="s">
        <v>31</v>
      </c>
      <c r="E104" t="s">
        <v>200</v>
      </c>
      <c r="F104">
        <v>33586505728</v>
      </c>
      <c r="G104">
        <v>0.1988</v>
      </c>
      <c r="H104">
        <v>5.1000000000000004E-3</v>
      </c>
      <c r="I104">
        <v>2.3199999999999998</v>
      </c>
      <c r="J104">
        <v>0</v>
      </c>
      <c r="L104">
        <v>4.4999999999999998E-2</v>
      </c>
      <c r="N104">
        <v>114000000</v>
      </c>
      <c r="O104">
        <v>130.88</v>
      </c>
      <c r="P104">
        <v>2024</v>
      </c>
      <c r="Q104">
        <v>1348000000</v>
      </c>
      <c r="R104">
        <v>256000000</v>
      </c>
      <c r="S104">
        <v>156000000</v>
      </c>
      <c r="T104">
        <v>93000000</v>
      </c>
      <c r="U104">
        <v>1661100000</v>
      </c>
      <c r="V104">
        <v>572500000</v>
      </c>
      <c r="W104">
        <v>117200000</v>
      </c>
      <c r="X104">
        <v>455300000</v>
      </c>
      <c r="Y104">
        <v>0</v>
      </c>
      <c r="Z104" s="1">
        <v>46085</v>
      </c>
      <c r="AA104">
        <v>113.9</v>
      </c>
      <c r="AB104">
        <v>295395838</v>
      </c>
      <c r="AC104">
        <v>12.025</v>
      </c>
      <c r="AD104">
        <v>7.4611000000000001</v>
      </c>
      <c r="AE104">
        <v>7.5639000000000003</v>
      </c>
      <c r="AF104">
        <v>-1.1463000000000001</v>
      </c>
      <c r="AG104">
        <v>12.025002272933895</v>
      </c>
      <c r="AH104">
        <v>7.4611009547024176</v>
      </c>
      <c r="AI104">
        <v>7.5638895990623123</v>
      </c>
      <c r="AJ104">
        <v>9.3174980753029786</v>
      </c>
      <c r="AK104">
        <v>131.19728799999999</v>
      </c>
    </row>
    <row r="105" spans="1:37" x14ac:dyDescent="0.35">
      <c r="A105">
        <v>81</v>
      </c>
      <c r="B105" t="s">
        <v>213</v>
      </c>
      <c r="C105" t="s">
        <v>214</v>
      </c>
      <c r="D105" t="s">
        <v>31</v>
      </c>
      <c r="E105" t="s">
        <v>43</v>
      </c>
      <c r="F105">
        <v>9813272576</v>
      </c>
      <c r="G105">
        <v>0.33829999999999999</v>
      </c>
      <c r="H105">
        <v>7.2400000000000006E-2</v>
      </c>
      <c r="I105">
        <v>7.23</v>
      </c>
      <c r="J105">
        <v>9.6000000000000002E-2</v>
      </c>
      <c r="L105">
        <v>0.36509999999999998</v>
      </c>
      <c r="N105">
        <v>0</v>
      </c>
      <c r="O105">
        <v>0</v>
      </c>
      <c r="P105">
        <v>2024</v>
      </c>
      <c r="Q105">
        <v>1614000000</v>
      </c>
      <c r="R105">
        <v>546000000</v>
      </c>
      <c r="S105">
        <v>546000000</v>
      </c>
      <c r="T105">
        <v>317000000</v>
      </c>
      <c r="U105">
        <v>9236000000</v>
      </c>
      <c r="V105">
        <v>5488000000</v>
      </c>
      <c r="W105">
        <v>1539000000</v>
      </c>
      <c r="X105">
        <v>3949000000</v>
      </c>
      <c r="Y105">
        <v>155000000</v>
      </c>
      <c r="Z105" s="1">
        <v>46085</v>
      </c>
      <c r="AA105">
        <v>18.14</v>
      </c>
      <c r="AB105">
        <v>541870347</v>
      </c>
      <c r="AC105">
        <v>15.2883</v>
      </c>
      <c r="AD105">
        <v>11.994899999999999</v>
      </c>
      <c r="AE105">
        <v>4.5171999999999999</v>
      </c>
      <c r="AF105">
        <v>-3.8307000000000002</v>
      </c>
      <c r="AG105">
        <v>15.288329242052297</v>
      </c>
      <c r="AH105">
        <v>11.994921795653056</v>
      </c>
      <c r="AI105">
        <v>4.5171862142890342</v>
      </c>
      <c r="AJ105">
        <v>11.068964099803546</v>
      </c>
      <c r="AK105">
        <v>17.973026695970695</v>
      </c>
    </row>
    <row r="106" spans="1:37" x14ac:dyDescent="0.35">
      <c r="A106">
        <v>153</v>
      </c>
      <c r="B106" t="s">
        <v>358</v>
      </c>
      <c r="C106" t="s">
        <v>359</v>
      </c>
      <c r="D106" t="s">
        <v>62</v>
      </c>
      <c r="E106" t="s">
        <v>197</v>
      </c>
      <c r="F106">
        <v>323004203008</v>
      </c>
      <c r="G106">
        <v>0.56079999999999997</v>
      </c>
      <c r="H106">
        <v>1.1999999999999999E-3</v>
      </c>
      <c r="I106">
        <v>1.1299999999999999</v>
      </c>
      <c r="J106">
        <v>1.3299999999999999E-2</v>
      </c>
      <c r="L106">
        <v>0.21990000000000001</v>
      </c>
      <c r="N106">
        <v>429000000</v>
      </c>
      <c r="O106">
        <v>214.43</v>
      </c>
      <c r="P106">
        <v>2024</v>
      </c>
      <c r="Q106">
        <v>2653000000</v>
      </c>
      <c r="R106">
        <v>1552000000</v>
      </c>
      <c r="S106">
        <v>1116000000</v>
      </c>
      <c r="T106">
        <v>776000000</v>
      </c>
      <c r="U106">
        <v>11481100000</v>
      </c>
      <c r="V106">
        <v>2223000000</v>
      </c>
      <c r="W106">
        <v>1024000000</v>
      </c>
      <c r="X106">
        <v>1199000000</v>
      </c>
      <c r="Y106">
        <v>17000000</v>
      </c>
      <c r="Z106" s="1">
        <v>46085</v>
      </c>
      <c r="AA106">
        <v>276.8</v>
      </c>
      <c r="AB106">
        <v>1171153769</v>
      </c>
      <c r="AC106">
        <v>11.835900000000001</v>
      </c>
      <c r="AD106">
        <v>19.226299999999998</v>
      </c>
      <c r="AE106">
        <v>10.417</v>
      </c>
      <c r="AF106">
        <v>-3.3999999999999998E-3</v>
      </c>
      <c r="AG106">
        <v>11.835894172197465</v>
      </c>
      <c r="AH106">
        <v>19.226284785699775</v>
      </c>
      <c r="AI106">
        <v>10.41698225651659</v>
      </c>
      <c r="AJ106">
        <v>13.627337781543895</v>
      </c>
      <c r="AK106">
        <v>208.12126482474227</v>
      </c>
    </row>
    <row r="107" spans="1:37" x14ac:dyDescent="0.35">
      <c r="A107">
        <v>82</v>
      </c>
      <c r="B107" t="s">
        <v>215</v>
      </c>
      <c r="C107" t="s">
        <v>216</v>
      </c>
      <c r="D107" t="s">
        <v>53</v>
      </c>
      <c r="E107" t="s">
        <v>217</v>
      </c>
      <c r="F107">
        <v>191289376768</v>
      </c>
      <c r="G107">
        <v>0.31909999999999999</v>
      </c>
      <c r="H107">
        <v>-0.16220000000000001</v>
      </c>
      <c r="I107">
        <v>2.69</v>
      </c>
      <c r="J107">
        <v>0.86119999999999997</v>
      </c>
      <c r="L107">
        <v>-0.14299999999999999</v>
      </c>
      <c r="N107">
        <v>0</v>
      </c>
      <c r="O107">
        <v>10.199999999999999</v>
      </c>
      <c r="P107">
        <v>2024</v>
      </c>
      <c r="Q107">
        <v>58833000000</v>
      </c>
      <c r="R107">
        <v>16926000000</v>
      </c>
      <c r="S107">
        <v>6701000000</v>
      </c>
      <c r="T107">
        <v>-206000000</v>
      </c>
      <c r="U107">
        <v>298786000000</v>
      </c>
      <c r="V107">
        <v>96618000000</v>
      </c>
      <c r="W107">
        <v>22809000000</v>
      </c>
      <c r="X107">
        <v>73809000000</v>
      </c>
      <c r="Y107">
        <v>42654000000</v>
      </c>
      <c r="Z107" s="1">
        <v>46085</v>
      </c>
      <c r="AA107">
        <v>144.80000000000001</v>
      </c>
      <c r="AB107">
        <v>1321059155</v>
      </c>
      <c r="AC107">
        <v>3.9127000000000001</v>
      </c>
      <c r="AD107">
        <v>11.370900000000001</v>
      </c>
      <c r="AE107">
        <v>7.0518000000000001</v>
      </c>
      <c r="AF107">
        <v>-1.4581999999999999</v>
      </c>
      <c r="AG107">
        <v>3.91274964390702</v>
      </c>
      <c r="AH107">
        <v>11.37091204550071</v>
      </c>
      <c r="AI107">
        <v>7.0518260333635778</v>
      </c>
      <c r="AJ107">
        <v>7.0919212812220946</v>
      </c>
      <c r="AK107">
        <v>11.301511093465674</v>
      </c>
    </row>
    <row r="108" spans="1:37" x14ac:dyDescent="0.35">
      <c r="A108">
        <v>83</v>
      </c>
      <c r="B108" t="s">
        <v>218</v>
      </c>
      <c r="C108" t="s">
        <v>219</v>
      </c>
      <c r="D108" t="s">
        <v>62</v>
      </c>
      <c r="E108" t="s">
        <v>39</v>
      </c>
      <c r="F108">
        <v>14419773440</v>
      </c>
      <c r="G108">
        <v>0</v>
      </c>
      <c r="H108">
        <v>-0.31490000000000001</v>
      </c>
      <c r="I108">
        <v>0</v>
      </c>
      <c r="J108">
        <v>3.2000000000000002E-3</v>
      </c>
      <c r="L108">
        <v>-1.5038</v>
      </c>
      <c r="N108">
        <v>0</v>
      </c>
      <c r="O108">
        <v>31.93</v>
      </c>
      <c r="P108">
        <v>2024</v>
      </c>
      <c r="Q108">
        <v>30128000000</v>
      </c>
      <c r="R108">
        <v>0</v>
      </c>
      <c r="S108">
        <v>704000000</v>
      </c>
      <c r="T108">
        <v>191000000</v>
      </c>
      <c r="U108">
        <v>544167000000</v>
      </c>
      <c r="V108">
        <v>7699000000</v>
      </c>
      <c r="W108">
        <v>16657000000</v>
      </c>
      <c r="X108">
        <v>-8958000000</v>
      </c>
      <c r="Y108">
        <v>95000000</v>
      </c>
      <c r="Z108" s="1">
        <v>46085</v>
      </c>
      <c r="AA108">
        <v>256.10000000000002</v>
      </c>
      <c r="AB108">
        <v>5630524171</v>
      </c>
      <c r="AC108">
        <v>1</v>
      </c>
      <c r="AD108">
        <v>1</v>
      </c>
      <c r="AE108">
        <v>19.4117</v>
      </c>
      <c r="AF108">
        <v>-0.44090000000000001</v>
      </c>
      <c r="AG108">
        <v>1</v>
      </c>
      <c r="AH108">
        <v>1</v>
      </c>
      <c r="AI108">
        <v>19.411656553748074</v>
      </c>
      <c r="AJ108">
        <v>6.523496966124422</v>
      </c>
      <c r="AK108" t="e">
        <v>#NUM!</v>
      </c>
    </row>
    <row r="109" spans="1:37" x14ac:dyDescent="0.35">
      <c r="A109">
        <v>84</v>
      </c>
      <c r="B109" t="s">
        <v>220</v>
      </c>
      <c r="C109" t="s">
        <v>221</v>
      </c>
      <c r="D109" t="s">
        <v>35</v>
      </c>
      <c r="E109" t="s">
        <v>39</v>
      </c>
      <c r="F109">
        <v>5785165312</v>
      </c>
      <c r="G109">
        <v>8.5699999999999998E-2</v>
      </c>
      <c r="H109">
        <v>0.1694</v>
      </c>
      <c r="I109">
        <v>1.85</v>
      </c>
      <c r="J109">
        <v>2.52E-2</v>
      </c>
      <c r="L109">
        <v>-1.0200000000000001E-2</v>
      </c>
      <c r="N109">
        <v>656000000</v>
      </c>
      <c r="O109">
        <v>8.8699999999999992</v>
      </c>
      <c r="P109">
        <v>2024</v>
      </c>
      <c r="Q109">
        <v>12980000000</v>
      </c>
      <c r="R109">
        <v>1249000000</v>
      </c>
      <c r="S109">
        <v>608000000</v>
      </c>
      <c r="T109">
        <v>345000000</v>
      </c>
      <c r="U109">
        <v>11900000000</v>
      </c>
      <c r="V109">
        <v>2476000000</v>
      </c>
      <c r="W109">
        <v>319000000</v>
      </c>
      <c r="X109">
        <v>2157000000</v>
      </c>
      <c r="Y109">
        <v>367000000</v>
      </c>
      <c r="Z109" s="1">
        <v>46085</v>
      </c>
      <c r="AA109">
        <v>342.5</v>
      </c>
      <c r="AB109">
        <v>1682687634</v>
      </c>
      <c r="AC109">
        <v>19.991800000000001</v>
      </c>
      <c r="AD109">
        <v>3.7852999999999999</v>
      </c>
      <c r="AE109">
        <v>8.4061000000000003</v>
      </c>
      <c r="AF109">
        <v>-0.77</v>
      </c>
      <c r="AG109">
        <v>19.991787132163516</v>
      </c>
      <c r="AH109">
        <v>3.785293520211253</v>
      </c>
      <c r="AI109">
        <v>8.4060629911830489</v>
      </c>
      <c r="AJ109">
        <v>11.654121806283698</v>
      </c>
      <c r="AK109">
        <v>4.6318377197758203</v>
      </c>
    </row>
    <row r="110" spans="1:37" x14ac:dyDescent="0.35">
      <c r="A110">
        <v>85</v>
      </c>
      <c r="B110" t="s">
        <v>222</v>
      </c>
      <c r="C110" t="s">
        <v>223</v>
      </c>
      <c r="D110" t="s">
        <v>46</v>
      </c>
      <c r="E110" t="s">
        <v>32</v>
      </c>
      <c r="F110">
        <v>5021679616</v>
      </c>
      <c r="G110">
        <v>0.26169999999999999</v>
      </c>
      <c r="H110">
        <v>8.3199999999999996E-2</v>
      </c>
      <c r="I110">
        <v>27.6</v>
      </c>
      <c r="J110">
        <v>1.44E-2</v>
      </c>
      <c r="L110">
        <v>0.1089</v>
      </c>
      <c r="N110">
        <v>21500000</v>
      </c>
      <c r="O110">
        <v>22.85</v>
      </c>
      <c r="P110">
        <v>2024</v>
      </c>
      <c r="Q110">
        <v>1303300000</v>
      </c>
      <c r="R110">
        <v>341100000</v>
      </c>
      <c r="S110">
        <v>319600000</v>
      </c>
      <c r="T110">
        <v>66000000</v>
      </c>
      <c r="U110">
        <v>19585200000</v>
      </c>
      <c r="V110">
        <v>9718600000</v>
      </c>
      <c r="W110">
        <v>305800000</v>
      </c>
      <c r="X110">
        <v>9412800000</v>
      </c>
      <c r="Y110">
        <v>18800000</v>
      </c>
      <c r="Z110" s="1">
        <v>46085</v>
      </c>
      <c r="AA110">
        <v>66.45</v>
      </c>
      <c r="AB110">
        <v>75570800</v>
      </c>
      <c r="AC110">
        <v>15.811999999999999</v>
      </c>
      <c r="AD110">
        <v>9.5053999999999998</v>
      </c>
      <c r="AE110">
        <v>3.0499000000000001</v>
      </c>
      <c r="AF110">
        <v>-16.1295</v>
      </c>
      <c r="AG110">
        <v>15.812013213322414</v>
      </c>
      <c r="AH110">
        <v>9.5053828966077596</v>
      </c>
      <c r="AI110">
        <v>3.0499103879691134</v>
      </c>
      <c r="AJ110">
        <v>10.091393270702028</v>
      </c>
      <c r="AK110">
        <v>14.722015878041629</v>
      </c>
    </row>
    <row r="111" spans="1:37" x14ac:dyDescent="0.35">
      <c r="A111">
        <v>87</v>
      </c>
      <c r="B111" t="s">
        <v>226</v>
      </c>
      <c r="C111" t="s">
        <v>227</v>
      </c>
      <c r="D111" t="s">
        <v>31</v>
      </c>
      <c r="E111" t="s">
        <v>50</v>
      </c>
      <c r="F111">
        <v>28230758400</v>
      </c>
      <c r="G111">
        <v>9.7500000000000003E-2</v>
      </c>
      <c r="H111">
        <v>4.0399999999999998E-2</v>
      </c>
      <c r="I111">
        <v>2.62</v>
      </c>
      <c r="J111">
        <v>4.6600000000000003E-2</v>
      </c>
      <c r="L111">
        <v>0.1087</v>
      </c>
      <c r="N111">
        <v>465000000</v>
      </c>
      <c r="O111">
        <v>13.41</v>
      </c>
      <c r="P111">
        <v>2024</v>
      </c>
      <c r="Q111">
        <v>17026000000</v>
      </c>
      <c r="R111">
        <v>1660000000</v>
      </c>
      <c r="S111">
        <v>1195000000</v>
      </c>
      <c r="T111">
        <v>729000000</v>
      </c>
      <c r="U111">
        <v>18202000000</v>
      </c>
      <c r="V111">
        <v>5382000000</v>
      </c>
      <c r="W111">
        <v>1033000000</v>
      </c>
      <c r="X111">
        <v>4349000000</v>
      </c>
      <c r="Y111">
        <v>793000000</v>
      </c>
      <c r="Z111" s="1">
        <v>46085</v>
      </c>
      <c r="AA111">
        <v>98.54</v>
      </c>
      <c r="AB111">
        <v>286781374</v>
      </c>
      <c r="AC111">
        <v>13.736700000000001</v>
      </c>
      <c r="AD111">
        <v>4.1688000000000001</v>
      </c>
      <c r="AE111">
        <v>7.1406999999999998</v>
      </c>
      <c r="AF111">
        <v>-1.3984000000000001</v>
      </c>
      <c r="AG111">
        <v>13.736673030881587</v>
      </c>
      <c r="AH111">
        <v>4.1687995124923827</v>
      </c>
      <c r="AI111">
        <v>7.1406744525575352</v>
      </c>
      <c r="AJ111">
        <v>8.8875114018676094</v>
      </c>
      <c r="AK111">
        <v>17.00648096385542</v>
      </c>
    </row>
    <row r="112" spans="1:37" x14ac:dyDescent="0.35">
      <c r="A112">
        <v>88</v>
      </c>
      <c r="B112" t="s">
        <v>228</v>
      </c>
      <c r="C112" t="s">
        <v>229</v>
      </c>
      <c r="D112" t="s">
        <v>53</v>
      </c>
      <c r="E112" t="s">
        <v>36</v>
      </c>
      <c r="F112">
        <v>2389060864</v>
      </c>
      <c r="G112">
        <v>1.1413</v>
      </c>
      <c r="H112">
        <v>-3.0200000000000001E-2</v>
      </c>
      <c r="I112">
        <v>5.46</v>
      </c>
      <c r="J112">
        <v>1.0591999999999999</v>
      </c>
      <c r="L112">
        <v>0.1381</v>
      </c>
      <c r="N112">
        <v>48423000</v>
      </c>
      <c r="O112">
        <v>13.6</v>
      </c>
      <c r="P112">
        <v>2024</v>
      </c>
      <c r="Q112">
        <v>176906000</v>
      </c>
      <c r="R112">
        <v>201895000</v>
      </c>
      <c r="S112">
        <v>158239000</v>
      </c>
      <c r="T112">
        <v>88614000</v>
      </c>
      <c r="U112">
        <v>1968642000</v>
      </c>
      <c r="V112">
        <v>1147432000</v>
      </c>
      <c r="W112">
        <v>44467000</v>
      </c>
      <c r="X112">
        <v>1102965000</v>
      </c>
      <c r="Y112">
        <v>187385000</v>
      </c>
      <c r="Z112" s="1">
        <v>46085</v>
      </c>
      <c r="AA112">
        <v>19.364999999999998</v>
      </c>
      <c r="AB112">
        <v>124950876</v>
      </c>
      <c r="AC112">
        <v>10.3133</v>
      </c>
      <c r="AD112">
        <v>25</v>
      </c>
      <c r="AE112">
        <v>5.0815999999999999</v>
      </c>
      <c r="AF112">
        <v>-1.9487000000000001</v>
      </c>
      <c r="AG112">
        <v>10.313331514986205</v>
      </c>
      <c r="AH112">
        <v>25</v>
      </c>
      <c r="AI112">
        <v>5.0816388625863009</v>
      </c>
      <c r="AJ112">
        <v>13.149824264770373</v>
      </c>
      <c r="AK112">
        <v>11.833184893137522</v>
      </c>
    </row>
    <row r="113" spans="1:37" x14ac:dyDescent="0.35">
      <c r="A113">
        <v>89</v>
      </c>
      <c r="B113" t="s">
        <v>230</v>
      </c>
      <c r="C113" t="s">
        <v>231</v>
      </c>
      <c r="D113" t="s">
        <v>232</v>
      </c>
      <c r="E113" t="s">
        <v>232</v>
      </c>
      <c r="F113">
        <v>632540224</v>
      </c>
      <c r="G113">
        <v>0</v>
      </c>
      <c r="H113">
        <v>0.1956</v>
      </c>
      <c r="I113">
        <v>0</v>
      </c>
      <c r="J113">
        <v>0</v>
      </c>
      <c r="L113">
        <v>-0.38150000000000001</v>
      </c>
      <c r="N113">
        <v>0</v>
      </c>
      <c r="O113">
        <v>0</v>
      </c>
      <c r="P113">
        <v>2024</v>
      </c>
      <c r="Q113">
        <v>22323000</v>
      </c>
      <c r="R113">
        <v>0</v>
      </c>
      <c r="S113">
        <v>0</v>
      </c>
      <c r="T113">
        <v>19514000</v>
      </c>
      <c r="U113">
        <v>971915000</v>
      </c>
      <c r="V113">
        <v>55790000</v>
      </c>
      <c r="W113">
        <v>0</v>
      </c>
      <c r="X113">
        <v>55790000</v>
      </c>
      <c r="Y113">
        <v>0</v>
      </c>
      <c r="Z113" s="1">
        <v>46085</v>
      </c>
      <c r="AA113">
        <v>75.852099999999993</v>
      </c>
      <c r="AB113">
        <v>833660936</v>
      </c>
      <c r="AC113">
        <v>21.2622</v>
      </c>
      <c r="AD113">
        <v>1</v>
      </c>
      <c r="AE113">
        <v>19.4117</v>
      </c>
      <c r="AF113">
        <v>0.27379999999999999</v>
      </c>
      <c r="AG113">
        <v>21.262205655059539</v>
      </c>
      <c r="AH113">
        <v>1</v>
      </c>
      <c r="AI113">
        <v>19.411656553748074</v>
      </c>
      <c r="AJ113">
        <v>14.628379228148239</v>
      </c>
      <c r="AK113" t="e">
        <v>#NUM!</v>
      </c>
    </row>
    <row r="114" spans="1:37" x14ac:dyDescent="0.35">
      <c r="A114">
        <v>167</v>
      </c>
      <c r="B114" t="s">
        <v>386</v>
      </c>
      <c r="C114" t="s">
        <v>387</v>
      </c>
      <c r="D114" t="s">
        <v>31</v>
      </c>
      <c r="E114" t="s">
        <v>109</v>
      </c>
      <c r="F114">
        <v>42160922624</v>
      </c>
      <c r="G114">
        <v>0.20749999999999999</v>
      </c>
      <c r="H114">
        <v>4.1200000000000001E-2</v>
      </c>
      <c r="I114">
        <v>3.25</v>
      </c>
      <c r="J114">
        <v>1.9400000000000001E-2</v>
      </c>
      <c r="L114">
        <v>8.48E-2</v>
      </c>
      <c r="N114">
        <v>490000000</v>
      </c>
      <c r="O114">
        <v>35.119999999999997</v>
      </c>
      <c r="P114">
        <v>2024</v>
      </c>
      <c r="Q114">
        <v>9148000000</v>
      </c>
      <c r="R114">
        <v>4539000000</v>
      </c>
      <c r="S114">
        <v>4098000000</v>
      </c>
      <c r="T114">
        <v>3239000000</v>
      </c>
      <c r="U114">
        <v>28999000000</v>
      </c>
      <c r="V114">
        <v>11533000000</v>
      </c>
      <c r="W114">
        <v>4810000000</v>
      </c>
      <c r="X114">
        <v>6723000000</v>
      </c>
      <c r="Y114">
        <v>226000000</v>
      </c>
      <c r="Z114" s="1">
        <v>46085</v>
      </c>
      <c r="AA114">
        <v>58.5</v>
      </c>
      <c r="AB114">
        <v>719038752</v>
      </c>
      <c r="AC114">
        <v>13.775499999999999</v>
      </c>
      <c r="AD114">
        <v>7.7439</v>
      </c>
      <c r="AE114">
        <v>6.4463999999999997</v>
      </c>
      <c r="AF114">
        <v>-1.6433</v>
      </c>
      <c r="AG114">
        <v>13.775464436160856</v>
      </c>
      <c r="AH114">
        <v>7.7438553727401995</v>
      </c>
      <c r="AI114">
        <v>6.4464024522207559</v>
      </c>
      <c r="AJ114">
        <v>9.7672631219526291</v>
      </c>
      <c r="AK114">
        <v>9.2885927790262173</v>
      </c>
    </row>
    <row r="115" spans="1:37" x14ac:dyDescent="0.35">
      <c r="A115">
        <v>90</v>
      </c>
      <c r="B115" t="s">
        <v>233</v>
      </c>
      <c r="C115" t="s">
        <v>234</v>
      </c>
      <c r="D115" t="s">
        <v>91</v>
      </c>
      <c r="E115" t="s">
        <v>82</v>
      </c>
      <c r="F115">
        <v>5161445888</v>
      </c>
      <c r="G115">
        <v>0.34699999999999998</v>
      </c>
      <c r="H115">
        <v>5.5199999999999999E-2</v>
      </c>
      <c r="I115">
        <v>1.69</v>
      </c>
      <c r="J115">
        <v>7.5200000000000003E-2</v>
      </c>
      <c r="L115">
        <v>2.64E-2</v>
      </c>
      <c r="N115">
        <v>132586000</v>
      </c>
      <c r="O115">
        <v>14.55</v>
      </c>
      <c r="P115">
        <v>2024</v>
      </c>
      <c r="Q115">
        <v>1044105000</v>
      </c>
      <c r="R115">
        <v>362342000</v>
      </c>
      <c r="S115">
        <v>229756000</v>
      </c>
      <c r="T115">
        <v>177179000</v>
      </c>
      <c r="U115">
        <v>2276688000</v>
      </c>
      <c r="V115">
        <v>726723000</v>
      </c>
      <c r="W115">
        <v>114154000</v>
      </c>
      <c r="X115">
        <v>612569000</v>
      </c>
      <c r="Y115">
        <v>78481000</v>
      </c>
      <c r="Z115" s="1">
        <v>46085</v>
      </c>
      <c r="AA115">
        <v>73</v>
      </c>
      <c r="AB115">
        <v>68984148</v>
      </c>
      <c r="AC115">
        <v>14.4543</v>
      </c>
      <c r="AD115">
        <v>12.277699999999999</v>
      </c>
      <c r="AE115">
        <v>8.7599</v>
      </c>
      <c r="AF115">
        <v>-0.52029999999999998</v>
      </c>
      <c r="AG115">
        <v>14.45431402854804</v>
      </c>
      <c r="AH115">
        <v>12.277676213690839</v>
      </c>
      <c r="AI115">
        <v>8.7599050428278602</v>
      </c>
      <c r="AJ115">
        <v>12.092999988374826</v>
      </c>
      <c r="AK115">
        <v>14.244680130926032</v>
      </c>
    </row>
    <row r="116" spans="1:37" x14ac:dyDescent="0.35">
      <c r="A116">
        <v>91</v>
      </c>
      <c r="B116" t="s">
        <v>235</v>
      </c>
      <c r="C116" t="s">
        <v>236</v>
      </c>
      <c r="D116" t="s">
        <v>106</v>
      </c>
      <c r="E116" t="s">
        <v>32</v>
      </c>
      <c r="F116">
        <v>10055201792</v>
      </c>
      <c r="G116">
        <v>0.20810000000000001</v>
      </c>
      <c r="H116">
        <v>6.4799999999999996E-2</v>
      </c>
      <c r="I116">
        <v>1.77</v>
      </c>
      <c r="J116">
        <v>4.8599999999999997E-2</v>
      </c>
      <c r="L116">
        <v>9.6000000000000002E-2</v>
      </c>
      <c r="N116">
        <v>316011000</v>
      </c>
      <c r="O116">
        <v>12.34</v>
      </c>
      <c r="P116">
        <v>2024</v>
      </c>
      <c r="Q116">
        <v>4998513000</v>
      </c>
      <c r="R116">
        <v>1040169000</v>
      </c>
      <c r="S116">
        <v>724158000</v>
      </c>
      <c r="T116">
        <v>478224000</v>
      </c>
      <c r="U116">
        <v>8324708000</v>
      </c>
      <c r="V116">
        <v>2545784000</v>
      </c>
      <c r="W116">
        <v>709492000</v>
      </c>
      <c r="X116">
        <v>1836292000</v>
      </c>
      <c r="Y116">
        <v>242847000</v>
      </c>
      <c r="Z116" s="1">
        <v>46085</v>
      </c>
      <c r="AA116">
        <v>71.680000000000007</v>
      </c>
      <c r="AB116">
        <v>139772054</v>
      </c>
      <c r="AC116">
        <v>14.9198</v>
      </c>
      <c r="AD116">
        <v>7.7633999999999999</v>
      </c>
      <c r="AE116">
        <v>8.5778999999999996</v>
      </c>
      <c r="AF116">
        <v>-0.72160000000000002</v>
      </c>
      <c r="AG116">
        <v>14.919810891899255</v>
      </c>
      <c r="AH116">
        <v>7.7633556774324592</v>
      </c>
      <c r="AI116">
        <v>8.5778743844907286</v>
      </c>
      <c r="AJ116">
        <v>10.870293375336658</v>
      </c>
      <c r="AK116">
        <v>9.6668923915248381</v>
      </c>
    </row>
    <row r="117" spans="1:37" x14ac:dyDescent="0.35">
      <c r="A117">
        <v>162</v>
      </c>
      <c r="B117" t="s">
        <v>376</v>
      </c>
      <c r="C117" t="s">
        <v>377</v>
      </c>
      <c r="D117" t="s">
        <v>62</v>
      </c>
      <c r="E117" t="s">
        <v>109</v>
      </c>
      <c r="F117">
        <v>1178361216</v>
      </c>
      <c r="G117">
        <v>0</v>
      </c>
      <c r="H117">
        <v>2.1600000000000001E-2</v>
      </c>
      <c r="I117">
        <v>0</v>
      </c>
      <c r="J117">
        <v>1.0999999999999999E-2</v>
      </c>
      <c r="L117">
        <v>0.13220000000000001</v>
      </c>
      <c r="N117">
        <v>17287000</v>
      </c>
      <c r="O117">
        <v>0</v>
      </c>
      <c r="P117">
        <v>2024</v>
      </c>
      <c r="Q117">
        <v>598000000</v>
      </c>
      <c r="R117">
        <v>0</v>
      </c>
      <c r="S117">
        <v>0</v>
      </c>
      <c r="T117">
        <v>159537000</v>
      </c>
      <c r="U117">
        <v>12901266000</v>
      </c>
      <c r="V117">
        <v>1961717000</v>
      </c>
      <c r="W117">
        <v>8389000</v>
      </c>
      <c r="X117">
        <v>1953328000</v>
      </c>
      <c r="Y117">
        <v>6579000</v>
      </c>
      <c r="Z117" s="1">
        <v>46085</v>
      </c>
      <c r="AA117">
        <v>27.34</v>
      </c>
      <c r="AB117">
        <v>43068756</v>
      </c>
      <c r="AC117">
        <v>12.825100000000001</v>
      </c>
      <c r="AD117">
        <v>1</v>
      </c>
      <c r="AE117">
        <v>19.4117</v>
      </c>
      <c r="AF117">
        <v>3.0200000000000001E-2</v>
      </c>
      <c r="AG117">
        <v>12.825075006818794</v>
      </c>
      <c r="AH117">
        <v>1</v>
      </c>
      <c r="AI117">
        <v>19.411656553748074</v>
      </c>
      <c r="AJ117">
        <v>11.25352696885194</v>
      </c>
      <c r="AK117" t="e">
        <v>#NUM!</v>
      </c>
    </row>
    <row r="118" spans="1:37" x14ac:dyDescent="0.35">
      <c r="A118">
        <v>93</v>
      </c>
      <c r="B118" t="s">
        <v>239</v>
      </c>
      <c r="C118" t="s">
        <v>240</v>
      </c>
      <c r="D118" t="s">
        <v>31</v>
      </c>
      <c r="E118" t="s">
        <v>43</v>
      </c>
      <c r="F118">
        <v>5311820800</v>
      </c>
      <c r="G118">
        <v>7.8899999999999998E-2</v>
      </c>
      <c r="H118">
        <v>8.7400000000000005E-2</v>
      </c>
      <c r="I118">
        <v>0.43</v>
      </c>
      <c r="J118">
        <v>4.9000000000000002E-2</v>
      </c>
      <c r="L118">
        <v>-1.7399999999999999E-2</v>
      </c>
      <c r="N118">
        <v>247000000</v>
      </c>
      <c r="O118">
        <v>8.2799999999999994</v>
      </c>
      <c r="P118">
        <v>2024</v>
      </c>
      <c r="Q118">
        <v>6917000000</v>
      </c>
      <c r="R118">
        <v>466000000</v>
      </c>
      <c r="S118">
        <v>290000000</v>
      </c>
      <c r="T118">
        <v>279000000</v>
      </c>
      <c r="U118">
        <v>7673000000</v>
      </c>
      <c r="V118">
        <v>1934000000</v>
      </c>
      <c r="W118">
        <v>1254000000</v>
      </c>
      <c r="X118">
        <v>680000000</v>
      </c>
      <c r="Y118">
        <v>319000000</v>
      </c>
      <c r="Z118" s="1">
        <v>46085</v>
      </c>
      <c r="AA118">
        <v>122</v>
      </c>
      <c r="AB118">
        <v>43646845</v>
      </c>
      <c r="AC118">
        <v>16.015699999999999</v>
      </c>
      <c r="AD118">
        <v>3.5642999999999998</v>
      </c>
      <c r="AE118">
        <v>14.3134</v>
      </c>
      <c r="AF118">
        <v>-4.1000000000000002E-2</v>
      </c>
      <c r="AG118">
        <v>16.01566809103857</v>
      </c>
      <c r="AH118">
        <v>3.5642900670322968</v>
      </c>
      <c r="AI118">
        <v>14.313431299193759</v>
      </c>
      <c r="AJ118">
        <v>11.769583646283245</v>
      </c>
      <c r="AK118">
        <v>11.398757081545064</v>
      </c>
    </row>
    <row r="119" spans="1:37" x14ac:dyDescent="0.35">
      <c r="A119">
        <v>134</v>
      </c>
      <c r="B119" t="s">
        <v>320</v>
      </c>
      <c r="C119" t="s">
        <v>321</v>
      </c>
      <c r="D119" t="s">
        <v>49</v>
      </c>
      <c r="E119" t="s">
        <v>32</v>
      </c>
      <c r="F119">
        <v>11562073088</v>
      </c>
      <c r="G119">
        <v>0.1731</v>
      </c>
      <c r="H119">
        <v>0.1527</v>
      </c>
      <c r="I119">
        <v>2.71</v>
      </c>
      <c r="J119">
        <v>4.6600000000000003E-2</v>
      </c>
      <c r="L119">
        <v>4.0000000000000001E-3</v>
      </c>
      <c r="N119">
        <v>1500409000</v>
      </c>
      <c r="O119">
        <v>8.0399999999999991</v>
      </c>
      <c r="P119">
        <v>2024</v>
      </c>
      <c r="Q119">
        <v>19335909000</v>
      </c>
      <c r="R119">
        <v>3206227000</v>
      </c>
      <c r="S119">
        <v>1463970000</v>
      </c>
      <c r="T119">
        <v>537913000</v>
      </c>
      <c r="U119">
        <v>33566579000</v>
      </c>
      <c r="V119">
        <v>10978908000</v>
      </c>
      <c r="W119">
        <v>1150947000</v>
      </c>
      <c r="X119">
        <v>9827961000</v>
      </c>
      <c r="Y119">
        <v>699358000</v>
      </c>
      <c r="Z119" s="1">
        <v>46085</v>
      </c>
      <c r="AA119">
        <v>39.92</v>
      </c>
      <c r="AB119">
        <v>279288885</v>
      </c>
      <c r="AC119">
        <v>19.181999999999999</v>
      </c>
      <c r="AD119">
        <v>6.6257999999999999</v>
      </c>
      <c r="AE119">
        <v>7.0270999999999999</v>
      </c>
      <c r="AF119">
        <v>-1.2044999999999999</v>
      </c>
      <c r="AG119">
        <v>19.182016546958803</v>
      </c>
      <c r="AH119">
        <v>6.6258379037172457</v>
      </c>
      <c r="AI119">
        <v>7.0270565857330709</v>
      </c>
      <c r="AJ119">
        <v>11.768674965618617</v>
      </c>
      <c r="AK119">
        <v>3.6061305353613453</v>
      </c>
    </row>
    <row r="120" spans="1:37" x14ac:dyDescent="0.35">
      <c r="A120">
        <v>94</v>
      </c>
      <c r="B120" t="s">
        <v>241</v>
      </c>
      <c r="C120" t="s">
        <v>232</v>
      </c>
      <c r="D120" t="s">
        <v>49</v>
      </c>
      <c r="E120" t="s">
        <v>43</v>
      </c>
      <c r="F120">
        <v>2277348608</v>
      </c>
      <c r="G120">
        <v>0.1298</v>
      </c>
      <c r="H120">
        <v>0.14430000000000001</v>
      </c>
      <c r="I120">
        <v>11.4</v>
      </c>
      <c r="J120">
        <v>2.5499999999999998E-2</v>
      </c>
      <c r="O120">
        <v>12.7</v>
      </c>
      <c r="Z120" s="1"/>
      <c r="AC120">
        <v>18.774699999999999</v>
      </c>
      <c r="AD120">
        <v>5.2186000000000003</v>
      </c>
      <c r="AE120">
        <v>3.8243999999999998</v>
      </c>
      <c r="AF120">
        <v>-6.4821999999999997</v>
      </c>
      <c r="AG120">
        <v>18.774706791526491</v>
      </c>
      <c r="AH120">
        <v>5.2185659150924231</v>
      </c>
      <c r="AI120">
        <v>3.8243969701500946</v>
      </c>
      <c r="AJ120">
        <v>10.222771582183352</v>
      </c>
    </row>
    <row r="121" spans="1:37" x14ac:dyDescent="0.35">
      <c r="A121">
        <v>132</v>
      </c>
      <c r="B121" t="s">
        <v>316</v>
      </c>
      <c r="C121" t="s">
        <v>317</v>
      </c>
      <c r="D121" t="s">
        <v>49</v>
      </c>
      <c r="E121" t="s">
        <v>82</v>
      </c>
      <c r="F121">
        <v>12059237376</v>
      </c>
      <c r="G121">
        <v>0.23980000000000001</v>
      </c>
      <c r="H121">
        <v>5.4399999999999997E-2</v>
      </c>
      <c r="I121">
        <v>1.1599999999999999</v>
      </c>
      <c r="J121">
        <v>3.56E-2</v>
      </c>
      <c r="L121">
        <v>4.9099999999999998E-2</v>
      </c>
      <c r="N121">
        <v>248500000</v>
      </c>
      <c r="O121">
        <v>15.14</v>
      </c>
      <c r="P121">
        <v>2024</v>
      </c>
      <c r="Q121">
        <v>3626900000</v>
      </c>
      <c r="R121">
        <v>921700000</v>
      </c>
      <c r="S121">
        <v>675500000</v>
      </c>
      <c r="T121">
        <v>601000000</v>
      </c>
      <c r="U121">
        <v>5791800000</v>
      </c>
      <c r="V121">
        <v>1794600000</v>
      </c>
      <c r="W121">
        <v>513600000</v>
      </c>
      <c r="X121">
        <v>1281000000</v>
      </c>
      <c r="Y121">
        <v>128600000</v>
      </c>
      <c r="Z121" s="1">
        <v>46085</v>
      </c>
      <c r="AA121">
        <v>202.5</v>
      </c>
      <c r="AB121">
        <v>59610666</v>
      </c>
      <c r="AC121">
        <v>14.4155</v>
      </c>
      <c r="AD121">
        <v>8.7935999999999996</v>
      </c>
      <c r="AE121">
        <v>10.3064</v>
      </c>
      <c r="AF121">
        <v>-0.33210000000000001</v>
      </c>
      <c r="AG121">
        <v>14.415522623268775</v>
      </c>
      <c r="AH121">
        <v>8.7936217753402399</v>
      </c>
      <c r="AI121">
        <v>10.306428245980314</v>
      </c>
      <c r="AJ121">
        <v>11.496224055703674</v>
      </c>
      <c r="AK121">
        <v>13.083690328740371</v>
      </c>
    </row>
    <row r="122" spans="1:37" x14ac:dyDescent="0.35">
      <c r="A122">
        <v>95</v>
      </c>
      <c r="B122" t="s">
        <v>242</v>
      </c>
      <c r="C122" t="s">
        <v>243</v>
      </c>
      <c r="D122" t="s">
        <v>31</v>
      </c>
      <c r="E122" t="s">
        <v>43</v>
      </c>
      <c r="F122">
        <v>2453613568</v>
      </c>
      <c r="G122">
        <v>0.15840000000000001</v>
      </c>
      <c r="H122">
        <v>0.15679999999999999</v>
      </c>
      <c r="I122">
        <v>2.19</v>
      </c>
      <c r="J122">
        <v>2.9600000000000001E-2</v>
      </c>
      <c r="L122">
        <v>0.20569999999999999</v>
      </c>
      <c r="N122">
        <v>366478000</v>
      </c>
      <c r="O122">
        <v>52.21</v>
      </c>
      <c r="P122">
        <v>2024</v>
      </c>
      <c r="Q122">
        <v>3271004000</v>
      </c>
      <c r="R122">
        <v>518159000</v>
      </c>
      <c r="S122">
        <v>145723000</v>
      </c>
      <c r="T122">
        <v>52829000</v>
      </c>
      <c r="U122">
        <v>2982330000</v>
      </c>
      <c r="V122">
        <v>1450620000</v>
      </c>
      <c r="W122">
        <v>314314000</v>
      </c>
      <c r="X122">
        <v>1136306000</v>
      </c>
      <c r="Y122">
        <v>96887000</v>
      </c>
      <c r="Z122" s="1">
        <v>46085</v>
      </c>
      <c r="AA122">
        <v>376</v>
      </c>
      <c r="AB122">
        <v>6513953</v>
      </c>
      <c r="AC122">
        <v>19.380800000000001</v>
      </c>
      <c r="AD122">
        <v>6.1481000000000003</v>
      </c>
      <c r="AE122">
        <v>7.7720000000000002</v>
      </c>
      <c r="AF122">
        <v>-0.90439999999999998</v>
      </c>
      <c r="AG122">
        <v>19.380822499015053</v>
      </c>
      <c r="AH122">
        <v>6.1480804387568559</v>
      </c>
      <c r="AI122">
        <v>7.7720035467583939</v>
      </c>
      <c r="AJ122">
        <v>11.928354195260596</v>
      </c>
      <c r="AK122">
        <v>4.7352522449672785</v>
      </c>
    </row>
    <row r="123" spans="1:37" x14ac:dyDescent="0.35">
      <c r="A123">
        <v>139</v>
      </c>
      <c r="B123" t="s">
        <v>330</v>
      </c>
      <c r="C123" t="s">
        <v>331</v>
      </c>
      <c r="D123" t="s">
        <v>31</v>
      </c>
      <c r="E123" t="s">
        <v>32</v>
      </c>
      <c r="F123">
        <v>7058698752</v>
      </c>
      <c r="G123">
        <v>0.35320000000000001</v>
      </c>
      <c r="H123">
        <v>-1.23E-2</v>
      </c>
      <c r="I123">
        <v>-1.42</v>
      </c>
      <c r="J123">
        <v>0.28589999999999999</v>
      </c>
      <c r="L123">
        <v>0.28310000000000002</v>
      </c>
      <c r="N123">
        <v>532300000</v>
      </c>
      <c r="O123">
        <v>12.27</v>
      </c>
      <c r="P123">
        <v>2024</v>
      </c>
      <c r="Q123">
        <v>4427000000</v>
      </c>
      <c r="R123">
        <v>1563400000</v>
      </c>
      <c r="S123">
        <v>1031100000</v>
      </c>
      <c r="T123">
        <v>450600000</v>
      </c>
      <c r="U123">
        <v>20252800000</v>
      </c>
      <c r="V123">
        <v>159500000</v>
      </c>
      <c r="W123">
        <v>2386300000</v>
      </c>
      <c r="X123">
        <v>-2226800000</v>
      </c>
      <c r="Y123">
        <v>1265900000</v>
      </c>
      <c r="Z123" s="1">
        <v>46085</v>
      </c>
      <c r="AA123">
        <v>76.400000000000006</v>
      </c>
      <c r="AB123">
        <v>92391339</v>
      </c>
      <c r="AC123">
        <v>11.1813</v>
      </c>
      <c r="AD123">
        <v>12.479200000000001</v>
      </c>
      <c r="AE123">
        <v>1</v>
      </c>
      <c r="AF123">
        <v>1.2585999999999999</v>
      </c>
      <c r="AG123">
        <v>11.181289208109822</v>
      </c>
      <c r="AH123">
        <v>12.479179362177534</v>
      </c>
      <c r="AI123">
        <v>1</v>
      </c>
      <c r="AJ123">
        <v>8.5162694918971908</v>
      </c>
      <c r="AK123">
        <v>4.5149665805296149</v>
      </c>
    </row>
    <row r="124" spans="1:37" x14ac:dyDescent="0.35">
      <c r="A124">
        <v>98</v>
      </c>
      <c r="B124" t="s">
        <v>248</v>
      </c>
      <c r="C124" t="s">
        <v>249</v>
      </c>
      <c r="D124" t="s">
        <v>62</v>
      </c>
      <c r="E124" t="s">
        <v>250</v>
      </c>
      <c r="F124">
        <v>4831691776</v>
      </c>
      <c r="G124">
        <v>0</v>
      </c>
      <c r="H124">
        <v>1.5599999999999999E-2</v>
      </c>
      <c r="I124">
        <v>0</v>
      </c>
      <c r="J124">
        <v>0</v>
      </c>
      <c r="L124">
        <v>5.0299999999999997E-2</v>
      </c>
      <c r="N124">
        <v>60700000</v>
      </c>
      <c r="O124">
        <v>5.41</v>
      </c>
      <c r="Z124" s="1">
        <v>46085</v>
      </c>
      <c r="AA124">
        <v>1483</v>
      </c>
      <c r="AB124">
        <v>323603134</v>
      </c>
      <c r="AC124">
        <v>12.5341</v>
      </c>
      <c r="AD124">
        <v>1</v>
      </c>
      <c r="AE124">
        <v>19.4117</v>
      </c>
      <c r="AF124">
        <v>2.18E-2</v>
      </c>
      <c r="AG124">
        <v>12.534139467224286</v>
      </c>
      <c r="AH124">
        <v>1</v>
      </c>
      <c r="AI124">
        <v>19.411656553748074</v>
      </c>
      <c r="AJ124">
        <v>11.137152753014135</v>
      </c>
    </row>
    <row r="125" spans="1:37" x14ac:dyDescent="0.35">
      <c r="A125">
        <v>143</v>
      </c>
      <c r="B125" t="s">
        <v>338</v>
      </c>
      <c r="C125" t="s">
        <v>339</v>
      </c>
      <c r="D125" t="s">
        <v>53</v>
      </c>
      <c r="E125" t="s">
        <v>32</v>
      </c>
      <c r="F125">
        <v>677173504</v>
      </c>
      <c r="G125">
        <v>0.22770000000000001</v>
      </c>
      <c r="H125">
        <v>-0.312</v>
      </c>
      <c r="I125">
        <v>16.73</v>
      </c>
      <c r="J125">
        <v>0.16489999999999999</v>
      </c>
      <c r="L125">
        <v>0.2555</v>
      </c>
      <c r="N125">
        <v>31400000</v>
      </c>
      <c r="O125">
        <v>21.94</v>
      </c>
      <c r="P125">
        <v>2024</v>
      </c>
      <c r="Q125">
        <v>210400000</v>
      </c>
      <c r="R125">
        <v>47900000</v>
      </c>
      <c r="S125">
        <v>14100000</v>
      </c>
      <c r="T125">
        <v>-13400000</v>
      </c>
      <c r="U125">
        <v>1263700000</v>
      </c>
      <c r="V125">
        <v>893200000</v>
      </c>
      <c r="W125">
        <v>91600000</v>
      </c>
      <c r="X125">
        <v>801600000</v>
      </c>
      <c r="Y125">
        <v>34700000</v>
      </c>
      <c r="Z125" s="1">
        <v>46085</v>
      </c>
      <c r="AA125">
        <v>8.84</v>
      </c>
      <c r="AB125">
        <v>76603334</v>
      </c>
      <c r="AC125">
        <v>1</v>
      </c>
      <c r="AD125">
        <v>8.4003999999999994</v>
      </c>
      <c r="AE125">
        <v>3.4134000000000002</v>
      </c>
      <c r="AF125">
        <v>-10.201599999999999</v>
      </c>
      <c r="AG125">
        <v>1</v>
      </c>
      <c r="AH125">
        <v>8.4003656307129795</v>
      </c>
      <c r="AI125">
        <v>3.4133576296499157</v>
      </c>
      <c r="AJ125">
        <v>3.9441169781088683</v>
      </c>
      <c r="AK125">
        <v>14.137233903966598</v>
      </c>
    </row>
    <row r="126" spans="1:37" x14ac:dyDescent="0.35">
      <c r="A126">
        <v>100</v>
      </c>
      <c r="B126" t="s">
        <v>253</v>
      </c>
      <c r="C126" t="s">
        <v>254</v>
      </c>
      <c r="D126" t="s">
        <v>31</v>
      </c>
      <c r="E126" t="s">
        <v>32</v>
      </c>
      <c r="F126">
        <v>7080737280</v>
      </c>
      <c r="G126">
        <v>0.182</v>
      </c>
      <c r="H126">
        <v>0.1653</v>
      </c>
      <c r="I126">
        <v>3.28</v>
      </c>
      <c r="J126">
        <v>0</v>
      </c>
      <c r="L126">
        <v>3.8199999999999998E-2</v>
      </c>
      <c r="N126">
        <v>1139200000</v>
      </c>
      <c r="O126">
        <v>9.51</v>
      </c>
      <c r="P126">
        <v>2024</v>
      </c>
      <c r="Q126">
        <v>11503200000</v>
      </c>
      <c r="R126">
        <v>2093400000</v>
      </c>
      <c r="S126">
        <v>954200000</v>
      </c>
      <c r="T126">
        <v>360300000</v>
      </c>
      <c r="U126">
        <v>18805400000</v>
      </c>
      <c r="V126">
        <v>7662400000</v>
      </c>
      <c r="W126">
        <v>786500000</v>
      </c>
      <c r="X126">
        <v>6875900000</v>
      </c>
      <c r="Y126">
        <v>0</v>
      </c>
      <c r="Z126" s="1">
        <v>46085</v>
      </c>
      <c r="AA126">
        <v>54</v>
      </c>
      <c r="AB126">
        <v>131124771</v>
      </c>
      <c r="AC126">
        <v>19.792999999999999</v>
      </c>
      <c r="AD126">
        <v>6.9150999999999998</v>
      </c>
      <c r="AE126">
        <v>6.4184000000000001</v>
      </c>
      <c r="AF126">
        <v>-1.5182</v>
      </c>
      <c r="AG126">
        <v>19.792981180107269</v>
      </c>
      <c r="AH126">
        <v>6.9150924233191144</v>
      </c>
      <c r="AI126">
        <v>6.4184400062792886</v>
      </c>
      <c r="AJ126">
        <v>11.917252200922428</v>
      </c>
      <c r="AK126">
        <v>3.3824100888506736</v>
      </c>
    </row>
    <row r="127" spans="1:37" x14ac:dyDescent="0.35">
      <c r="A127">
        <v>137</v>
      </c>
      <c r="B127" t="s">
        <v>326</v>
      </c>
      <c r="C127" t="s">
        <v>327</v>
      </c>
      <c r="D127" t="s">
        <v>31</v>
      </c>
      <c r="E127" t="s">
        <v>82</v>
      </c>
      <c r="F127">
        <v>20166363136</v>
      </c>
      <c r="G127">
        <v>0.29720000000000002</v>
      </c>
      <c r="H127">
        <v>3.2300000000000002E-2</v>
      </c>
      <c r="I127">
        <v>1.05</v>
      </c>
      <c r="J127">
        <v>6.3299999999999995E-2</v>
      </c>
      <c r="L127">
        <v>-3.6700000000000003E-2</v>
      </c>
      <c r="N127">
        <v>149700000</v>
      </c>
      <c r="O127">
        <v>23.95</v>
      </c>
      <c r="P127">
        <v>2024</v>
      </c>
      <c r="Q127">
        <v>3085500000</v>
      </c>
      <c r="R127">
        <v>917000000</v>
      </c>
      <c r="S127">
        <v>766200000</v>
      </c>
      <c r="T127">
        <v>597100000</v>
      </c>
      <c r="U127">
        <v>3641000000</v>
      </c>
      <c r="V127">
        <v>1373100000</v>
      </c>
      <c r="W127">
        <v>407700000</v>
      </c>
      <c r="X127">
        <v>965400000</v>
      </c>
      <c r="Y127">
        <v>195300000</v>
      </c>
      <c r="Z127" s="1">
        <v>46085</v>
      </c>
      <c r="AA127">
        <v>612</v>
      </c>
      <c r="AB127">
        <v>32962348</v>
      </c>
      <c r="AC127">
        <v>13.3439</v>
      </c>
      <c r="AD127">
        <v>10.6592</v>
      </c>
      <c r="AE127">
        <v>10.727600000000001</v>
      </c>
      <c r="AF127">
        <v>-0.2281</v>
      </c>
      <c r="AG127">
        <v>13.343910052428999</v>
      </c>
      <c r="AH127">
        <v>10.659150924233192</v>
      </c>
      <c r="AI127">
        <v>10.727612061730714</v>
      </c>
      <c r="AJ127">
        <v>11.753592916760772</v>
      </c>
      <c r="AK127">
        <v>21.991671904034895</v>
      </c>
    </row>
    <row r="128" spans="1:37" x14ac:dyDescent="0.35">
      <c r="A128">
        <v>101</v>
      </c>
      <c r="B128" t="s">
        <v>255</v>
      </c>
      <c r="C128" t="s">
        <v>256</v>
      </c>
      <c r="D128" t="s">
        <v>42</v>
      </c>
      <c r="E128" t="s">
        <v>197</v>
      </c>
      <c r="F128">
        <v>17118082048</v>
      </c>
      <c r="G128">
        <v>0.18920000000000001</v>
      </c>
      <c r="H128">
        <v>8.4599999999999995E-2</v>
      </c>
      <c r="I128">
        <v>1.24</v>
      </c>
      <c r="J128">
        <v>2.0500000000000001E-2</v>
      </c>
      <c r="L128">
        <v>-7.0000000000000001E-3</v>
      </c>
      <c r="O128">
        <v>9.83</v>
      </c>
      <c r="P128">
        <v>2024</v>
      </c>
      <c r="Q128">
        <v>28712000000</v>
      </c>
      <c r="R128">
        <v>-1060000000</v>
      </c>
      <c r="S128">
        <v>-3520000000</v>
      </c>
      <c r="T128">
        <v>-6413000000</v>
      </c>
      <c r="U128">
        <v>48004000000</v>
      </c>
      <c r="V128">
        <v>7095000000</v>
      </c>
      <c r="W128">
        <v>1083000000</v>
      </c>
      <c r="X128">
        <v>6012000000</v>
      </c>
      <c r="Y128">
        <v>589000000</v>
      </c>
      <c r="Z128" s="1">
        <v>46085</v>
      </c>
      <c r="AA128">
        <v>22.21</v>
      </c>
      <c r="AB128">
        <v>767282266</v>
      </c>
      <c r="AC128">
        <v>15.879899999999999</v>
      </c>
      <c r="AD128">
        <v>7.1490999999999998</v>
      </c>
      <c r="AE128">
        <v>10.0261</v>
      </c>
      <c r="AF128">
        <v>-0.39850000000000002</v>
      </c>
      <c r="AG128">
        <v>15.879898172561132</v>
      </c>
      <c r="AH128">
        <v>7.1490960796262435</v>
      </c>
      <c r="AI128">
        <v>10.026094862120468</v>
      </c>
      <c r="AJ128">
        <v>11.504516551548466</v>
      </c>
      <c r="AK128">
        <v>-16.149134007547168</v>
      </c>
    </row>
    <row r="129" spans="1:37" x14ac:dyDescent="0.35">
      <c r="A129">
        <v>152</v>
      </c>
      <c r="B129" t="s">
        <v>356</v>
      </c>
      <c r="C129" t="s">
        <v>357</v>
      </c>
      <c r="D129" t="s">
        <v>46</v>
      </c>
      <c r="E129" t="s">
        <v>43</v>
      </c>
      <c r="F129">
        <v>5473398784</v>
      </c>
      <c r="G129">
        <v>0.64629999999999999</v>
      </c>
      <c r="H129">
        <v>-8.9700000000000002E-2</v>
      </c>
      <c r="I129">
        <v>12.26</v>
      </c>
      <c r="J129">
        <v>1.1294999999999999</v>
      </c>
      <c r="L129">
        <v>3.9800000000000002E-2</v>
      </c>
      <c r="N129">
        <v>10123000</v>
      </c>
      <c r="O129">
        <v>18.7</v>
      </c>
      <c r="P129">
        <v>2024</v>
      </c>
      <c r="Q129">
        <v>843245000</v>
      </c>
      <c r="R129">
        <v>414634000</v>
      </c>
      <c r="S129">
        <v>402932000</v>
      </c>
      <c r="T129">
        <v>309763000</v>
      </c>
      <c r="U129">
        <v>17917968000</v>
      </c>
      <c r="V129">
        <v>6762341000</v>
      </c>
      <c r="W129">
        <v>179039000</v>
      </c>
      <c r="X129">
        <v>6583302000</v>
      </c>
      <c r="Y129">
        <v>454668000</v>
      </c>
      <c r="Z129" s="1">
        <v>46085</v>
      </c>
      <c r="AA129">
        <v>73.900000000000006</v>
      </c>
      <c r="AB129">
        <v>74064935</v>
      </c>
      <c r="AC129">
        <v>7.4282000000000004</v>
      </c>
      <c r="AD129">
        <v>22.005099999999999</v>
      </c>
      <c r="AE129">
        <v>3.7357</v>
      </c>
      <c r="AF129">
        <v>-6.7060000000000004</v>
      </c>
      <c r="AG129">
        <v>7.4282207473406636</v>
      </c>
      <c r="AH129">
        <v>22.005078204346944</v>
      </c>
      <c r="AI129">
        <v>3.7357181627495613</v>
      </c>
      <c r="AJ129">
        <v>10.693527209065216</v>
      </c>
      <c r="AK129">
        <v>13.200554667489882</v>
      </c>
    </row>
    <row r="130" spans="1:37" x14ac:dyDescent="0.35">
      <c r="A130">
        <v>103</v>
      </c>
      <c r="B130" t="s">
        <v>259</v>
      </c>
      <c r="C130" t="s">
        <v>260</v>
      </c>
      <c r="D130" t="s">
        <v>62</v>
      </c>
      <c r="E130" t="s">
        <v>82</v>
      </c>
      <c r="F130">
        <v>2586805248</v>
      </c>
      <c r="G130">
        <v>0</v>
      </c>
      <c r="H130">
        <v>-0.2137</v>
      </c>
      <c r="I130">
        <v>0</v>
      </c>
      <c r="J130">
        <v>2.2100000000000002E-2</v>
      </c>
      <c r="L130">
        <v>5.0599999999999999E-2</v>
      </c>
      <c r="O130">
        <v>0</v>
      </c>
      <c r="Z130" s="1">
        <v>46085</v>
      </c>
      <c r="AA130">
        <v>163.80000000000001</v>
      </c>
      <c r="AB130">
        <v>15792461</v>
      </c>
      <c r="AC130">
        <v>1.4156</v>
      </c>
      <c r="AD130">
        <v>1</v>
      </c>
      <c r="AE130">
        <v>19.4117</v>
      </c>
      <c r="AF130">
        <v>-0.29920000000000002</v>
      </c>
      <c r="AG130">
        <v>1.4155529290541566</v>
      </c>
      <c r="AH130">
        <v>1</v>
      </c>
      <c r="AI130">
        <v>19.411656553748074</v>
      </c>
      <c r="AJ130">
        <v>6.6897181377460839</v>
      </c>
    </row>
    <row r="131" spans="1:37" x14ac:dyDescent="0.35">
      <c r="A131">
        <v>126</v>
      </c>
      <c r="B131" t="s">
        <v>305</v>
      </c>
      <c r="C131" t="s">
        <v>306</v>
      </c>
      <c r="D131" t="s">
        <v>35</v>
      </c>
      <c r="E131" t="s">
        <v>39</v>
      </c>
      <c r="F131">
        <v>4816300032</v>
      </c>
      <c r="G131">
        <v>0.21659999999999999</v>
      </c>
      <c r="H131">
        <v>5.7700000000000001E-2</v>
      </c>
      <c r="I131">
        <v>0.67</v>
      </c>
      <c r="J131">
        <v>5.2499999999999998E-2</v>
      </c>
      <c r="L131">
        <v>3.6299999999999999E-2</v>
      </c>
      <c r="N131">
        <v>154100000</v>
      </c>
      <c r="O131">
        <v>13.13</v>
      </c>
      <c r="P131">
        <v>2024</v>
      </c>
      <c r="Q131">
        <v>2322100000</v>
      </c>
      <c r="R131">
        <v>502900000</v>
      </c>
      <c r="S131">
        <v>348800000</v>
      </c>
      <c r="T131">
        <v>249300000</v>
      </c>
      <c r="U131">
        <v>2237500000</v>
      </c>
      <c r="V131">
        <v>681000000</v>
      </c>
      <c r="W131">
        <v>343600000</v>
      </c>
      <c r="X131">
        <v>337400000</v>
      </c>
      <c r="Y131">
        <v>122000000</v>
      </c>
      <c r="Z131" s="1">
        <v>46085</v>
      </c>
      <c r="AA131">
        <v>893.5</v>
      </c>
      <c r="AB131">
        <v>539037512</v>
      </c>
      <c r="AC131">
        <v>14.5755</v>
      </c>
      <c r="AD131">
        <v>8.0396000000000001</v>
      </c>
      <c r="AE131">
        <v>12.609500000000001</v>
      </c>
      <c r="AF131">
        <v>-6.13E-2</v>
      </c>
      <c r="AG131">
        <v>14.575537170045756</v>
      </c>
      <c r="AH131">
        <v>8.0396099939061543</v>
      </c>
      <c r="AI131">
        <v>12.609526465475566</v>
      </c>
      <c r="AJ131">
        <v>12.024955805832818</v>
      </c>
      <c r="AK131">
        <v>9.5770531556969569</v>
      </c>
    </row>
    <row r="132" spans="1:37" x14ac:dyDescent="0.35">
      <c r="A132">
        <v>104</v>
      </c>
      <c r="B132" t="s">
        <v>261</v>
      </c>
      <c r="C132" t="s">
        <v>262</v>
      </c>
      <c r="D132" t="s">
        <v>35</v>
      </c>
      <c r="E132" t="s">
        <v>197</v>
      </c>
      <c r="F132">
        <v>22818555904</v>
      </c>
      <c r="G132">
        <v>0.15679999999999999</v>
      </c>
      <c r="H132">
        <v>3.44E-2</v>
      </c>
      <c r="I132">
        <v>2.48</v>
      </c>
      <c r="J132">
        <v>3.3399999999999999E-2</v>
      </c>
      <c r="L132">
        <v>1.29E-2</v>
      </c>
      <c r="O132">
        <v>13.22</v>
      </c>
      <c r="P132">
        <v>2024</v>
      </c>
      <c r="Q132">
        <v>9541000000</v>
      </c>
      <c r="R132">
        <v>1541000000</v>
      </c>
      <c r="S132">
        <v>1541000000</v>
      </c>
      <c r="T132">
        <v>1122000000</v>
      </c>
      <c r="U132">
        <v>14957000000</v>
      </c>
      <c r="V132">
        <v>4368000000</v>
      </c>
      <c r="W132">
        <v>405000000</v>
      </c>
      <c r="X132">
        <v>3963000000</v>
      </c>
      <c r="Y132">
        <v>263000000</v>
      </c>
      <c r="Z132" s="1">
        <v>46085</v>
      </c>
      <c r="AA132">
        <v>212</v>
      </c>
      <c r="AB132">
        <v>107838162</v>
      </c>
      <c r="AC132">
        <v>13.4457</v>
      </c>
      <c r="AD132">
        <v>6.0960999999999999</v>
      </c>
      <c r="AE132">
        <v>7.3291000000000004</v>
      </c>
      <c r="AF132">
        <v>-1.2517</v>
      </c>
      <c r="AG132">
        <v>13.44573749128708</v>
      </c>
      <c r="AH132">
        <v>6.0960796262441592</v>
      </c>
      <c r="AI132">
        <v>7.3290943760205813</v>
      </c>
      <c r="AJ132">
        <v>9.4058471971942534</v>
      </c>
      <c r="AK132">
        <v>14.807628750162232</v>
      </c>
    </row>
    <row r="133" spans="1:37" x14ac:dyDescent="0.35">
      <c r="A133">
        <v>127</v>
      </c>
      <c r="B133" t="s">
        <v>307</v>
      </c>
      <c r="C133" t="s">
        <v>308</v>
      </c>
      <c r="D133" t="s">
        <v>91</v>
      </c>
      <c r="E133" t="s">
        <v>32</v>
      </c>
      <c r="F133">
        <v>404366560</v>
      </c>
      <c r="G133">
        <v>0.11</v>
      </c>
      <c r="H133">
        <v>0.16700000000000001</v>
      </c>
      <c r="I133">
        <v>0.83</v>
      </c>
      <c r="J133">
        <v>5.5999999999999999E-3</v>
      </c>
      <c r="L133">
        <v>0.158</v>
      </c>
      <c r="N133">
        <v>22963025</v>
      </c>
      <c r="O133">
        <v>8</v>
      </c>
      <c r="P133">
        <v>2024</v>
      </c>
      <c r="Q133">
        <v>870920110.27999997</v>
      </c>
      <c r="R133">
        <v>95842311.459999993</v>
      </c>
      <c r="S133">
        <v>72879286.060000002</v>
      </c>
      <c r="T133">
        <v>46479504.509999998</v>
      </c>
      <c r="U133">
        <v>652649546.75</v>
      </c>
      <c r="V133">
        <v>159706367.41999999</v>
      </c>
      <c r="W133">
        <v>80196229.640000001</v>
      </c>
      <c r="X133">
        <v>79510137.779999986</v>
      </c>
      <c r="Y133">
        <v>4883507.6100000003</v>
      </c>
      <c r="Z133" s="1">
        <v>46085</v>
      </c>
      <c r="AA133">
        <v>15.12</v>
      </c>
      <c r="AB133">
        <v>26325946</v>
      </c>
      <c r="AC133">
        <v>19.875399999999999</v>
      </c>
      <c r="AD133">
        <v>4.5750999999999999</v>
      </c>
      <c r="AE133">
        <v>11.7219</v>
      </c>
      <c r="AF133">
        <v>-0.13220000000000001</v>
      </c>
      <c r="AG133">
        <v>19.875412916325715</v>
      </c>
      <c r="AH133">
        <v>4.5750558602478169</v>
      </c>
      <c r="AI133">
        <v>11.721882053010349</v>
      </c>
      <c r="AJ133">
        <v>12.839246540507737</v>
      </c>
      <c r="AK133">
        <v>4.2190818839836028</v>
      </c>
    </row>
    <row r="134" spans="1:37" x14ac:dyDescent="0.35">
      <c r="A134">
        <v>106</v>
      </c>
      <c r="B134" t="s">
        <v>265</v>
      </c>
      <c r="C134" t="s">
        <v>266</v>
      </c>
      <c r="D134" t="s">
        <v>62</v>
      </c>
      <c r="E134" t="s">
        <v>109</v>
      </c>
      <c r="F134">
        <v>17377974272</v>
      </c>
      <c r="G134">
        <v>0</v>
      </c>
      <c r="H134">
        <v>-2.3099999999999999E-2</v>
      </c>
      <c r="I134">
        <v>0</v>
      </c>
      <c r="J134">
        <v>0</v>
      </c>
      <c r="L134">
        <v>-4.9989999999999997</v>
      </c>
      <c r="N134">
        <v>157000000</v>
      </c>
      <c r="O134">
        <v>-10.51</v>
      </c>
      <c r="P134">
        <v>2024</v>
      </c>
      <c r="Q134">
        <v>11015000000</v>
      </c>
      <c r="R134">
        <v>0</v>
      </c>
      <c r="S134">
        <v>3245000000</v>
      </c>
      <c r="T134">
        <v>1583000000</v>
      </c>
      <c r="U134">
        <v>210375000000</v>
      </c>
      <c r="V134">
        <v>11758000000</v>
      </c>
      <c r="W134">
        <v>6929000000</v>
      </c>
      <c r="X134">
        <v>4829000000</v>
      </c>
      <c r="Y134">
        <v>0</v>
      </c>
      <c r="Z134" s="1">
        <v>46085</v>
      </c>
      <c r="AA134">
        <v>66.36</v>
      </c>
      <c r="AB134">
        <v>262190314</v>
      </c>
      <c r="AC134">
        <v>10.6576</v>
      </c>
      <c r="AD134">
        <v>1</v>
      </c>
      <c r="AE134">
        <v>19.4117</v>
      </c>
      <c r="AF134">
        <v>-3.2300000000000002E-2</v>
      </c>
      <c r="AG134">
        <v>10.657605236839707</v>
      </c>
      <c r="AH134">
        <v>1</v>
      </c>
      <c r="AI134">
        <v>19.411656553748074</v>
      </c>
      <c r="AJ134">
        <v>10.386539060860304</v>
      </c>
      <c r="AK134" t="e">
        <v>#NUM!</v>
      </c>
    </row>
    <row r="135" spans="1:37" x14ac:dyDescent="0.35">
      <c r="A135">
        <v>121</v>
      </c>
      <c r="B135" t="s">
        <v>295</v>
      </c>
      <c r="C135" t="s">
        <v>296</v>
      </c>
      <c r="D135" t="s">
        <v>62</v>
      </c>
      <c r="E135" t="s">
        <v>39</v>
      </c>
      <c r="F135">
        <v>7680948224</v>
      </c>
      <c r="G135">
        <v>0</v>
      </c>
      <c r="H135">
        <v>0.43519999999999998</v>
      </c>
      <c r="I135">
        <v>0</v>
      </c>
      <c r="J135">
        <v>2E-3</v>
      </c>
      <c r="L135">
        <v>-1.2777000000000001</v>
      </c>
      <c r="N135">
        <v>294000000</v>
      </c>
      <c r="O135">
        <v>-54.98</v>
      </c>
      <c r="P135">
        <v>2024</v>
      </c>
      <c r="Q135">
        <v>14432000000</v>
      </c>
      <c r="R135">
        <v>0</v>
      </c>
      <c r="S135">
        <v>-1164000000</v>
      </c>
      <c r="T135">
        <v>-1090000000</v>
      </c>
      <c r="U135">
        <v>307857000000</v>
      </c>
      <c r="V135">
        <v>3686000000</v>
      </c>
      <c r="W135">
        <v>9453000000</v>
      </c>
      <c r="X135">
        <v>-5767000000</v>
      </c>
      <c r="Y135">
        <v>29000000</v>
      </c>
      <c r="Z135" s="1">
        <v>46084</v>
      </c>
      <c r="AA135">
        <v>713</v>
      </c>
      <c r="AB135">
        <v>1001427459</v>
      </c>
      <c r="AC135">
        <v>25</v>
      </c>
      <c r="AD135">
        <v>1</v>
      </c>
      <c r="AE135">
        <v>19.4117</v>
      </c>
      <c r="AF135">
        <v>0.60929999999999995</v>
      </c>
      <c r="AG135">
        <v>25</v>
      </c>
      <c r="AH135">
        <v>1</v>
      </c>
      <c r="AI135">
        <v>19.411656553748074</v>
      </c>
      <c r="AJ135">
        <v>16.123496966124421</v>
      </c>
      <c r="AK135" t="e">
        <v>#NUM!</v>
      </c>
    </row>
    <row r="136" spans="1:37" x14ac:dyDescent="0.35">
      <c r="A136">
        <v>107</v>
      </c>
      <c r="B136" t="s">
        <v>267</v>
      </c>
      <c r="C136" t="s">
        <v>268</v>
      </c>
      <c r="D136" t="s">
        <v>62</v>
      </c>
      <c r="E136" t="s">
        <v>32</v>
      </c>
      <c r="F136">
        <v>431846080</v>
      </c>
      <c r="G136">
        <v>0</v>
      </c>
      <c r="H136">
        <v>-5.1383999999999999</v>
      </c>
      <c r="I136">
        <v>0</v>
      </c>
      <c r="J136">
        <v>4.41E-2</v>
      </c>
      <c r="L136">
        <v>-2.1299999999999999E-2</v>
      </c>
      <c r="N136">
        <v>21000000</v>
      </c>
      <c r="O136">
        <v>0</v>
      </c>
      <c r="P136">
        <v>2024</v>
      </c>
      <c r="Q136">
        <v>544000000</v>
      </c>
      <c r="R136">
        <v>0</v>
      </c>
      <c r="S136">
        <v>0</v>
      </c>
      <c r="T136">
        <v>90000000</v>
      </c>
      <c r="U136">
        <v>44169000000</v>
      </c>
      <c r="V136">
        <v>19250000000</v>
      </c>
      <c r="W136">
        <v>2010000000</v>
      </c>
      <c r="X136">
        <v>17240000000</v>
      </c>
      <c r="Y136">
        <v>24000000</v>
      </c>
      <c r="Z136" s="1">
        <v>46085</v>
      </c>
      <c r="AA136">
        <v>3.21</v>
      </c>
      <c r="AB136">
        <v>134475308</v>
      </c>
      <c r="AC136">
        <v>1</v>
      </c>
      <c r="AD136">
        <v>1</v>
      </c>
      <c r="AE136">
        <v>19.4117</v>
      </c>
      <c r="AF136">
        <v>-7.1938000000000004</v>
      </c>
      <c r="AG136">
        <v>1</v>
      </c>
      <c r="AH136">
        <v>1</v>
      </c>
      <c r="AI136">
        <v>19.411656553748074</v>
      </c>
      <c r="AJ136">
        <v>6.523496966124422</v>
      </c>
      <c r="AK136" t="e">
        <v>#NUM!</v>
      </c>
    </row>
    <row r="137" spans="1:37" x14ac:dyDescent="0.35">
      <c r="A137">
        <v>111</v>
      </c>
      <c r="B137" t="s">
        <v>275</v>
      </c>
      <c r="C137" t="s">
        <v>276</v>
      </c>
      <c r="D137" t="s">
        <v>49</v>
      </c>
      <c r="E137" t="s">
        <v>36</v>
      </c>
      <c r="F137">
        <v>6776509952</v>
      </c>
      <c r="G137">
        <v>0.20580000000000001</v>
      </c>
      <c r="H137">
        <v>7.8299999999999995E-2</v>
      </c>
      <c r="I137">
        <v>6.13</v>
      </c>
      <c r="J137">
        <v>5.1499999999999997E-2</v>
      </c>
      <c r="L137">
        <v>0.1368</v>
      </c>
      <c r="N137">
        <v>437897000</v>
      </c>
      <c r="O137">
        <v>10.55</v>
      </c>
      <c r="P137">
        <v>2024</v>
      </c>
      <c r="Q137">
        <v>7212382000</v>
      </c>
      <c r="R137">
        <v>1484464000</v>
      </c>
      <c r="S137">
        <v>1046567000</v>
      </c>
      <c r="T137">
        <v>156920000</v>
      </c>
      <c r="U137">
        <v>21405241000</v>
      </c>
      <c r="V137">
        <v>10085619000</v>
      </c>
      <c r="W137">
        <v>979780000</v>
      </c>
      <c r="X137">
        <v>9105839000</v>
      </c>
      <c r="Y137">
        <v>371367000</v>
      </c>
      <c r="Z137" s="1">
        <v>46085</v>
      </c>
      <c r="AA137">
        <v>9.99</v>
      </c>
      <c r="AB137">
        <v>422285368</v>
      </c>
      <c r="AC137">
        <v>15.574400000000001</v>
      </c>
      <c r="AD137">
        <v>7.6886000000000001</v>
      </c>
      <c r="AE137">
        <v>4.835</v>
      </c>
      <c r="AF137">
        <v>-3.3214000000000001</v>
      </c>
      <c r="AG137">
        <v>15.574415855986896</v>
      </c>
      <c r="AH137">
        <v>7.6886045094454598</v>
      </c>
      <c r="AI137">
        <v>4.8350125800706341</v>
      </c>
      <c r="AJ137">
        <v>9.9868514692495864</v>
      </c>
      <c r="AK137">
        <v>4.5649540521023075</v>
      </c>
    </row>
    <row r="138" spans="1:37" x14ac:dyDescent="0.35">
      <c r="A138">
        <v>108</v>
      </c>
      <c r="B138" t="s">
        <v>269</v>
      </c>
      <c r="C138" t="s">
        <v>270</v>
      </c>
      <c r="D138" t="s">
        <v>31</v>
      </c>
      <c r="E138" t="s">
        <v>82</v>
      </c>
      <c r="F138">
        <v>5393716224</v>
      </c>
      <c r="G138">
        <v>0.14249999999999999</v>
      </c>
      <c r="H138">
        <v>4.2900000000000001E-2</v>
      </c>
      <c r="I138">
        <v>0.2</v>
      </c>
      <c r="J138">
        <v>2.6200000000000001E-2</v>
      </c>
      <c r="L138">
        <v>3.8600000000000002E-2</v>
      </c>
      <c r="N138">
        <v>120200000</v>
      </c>
      <c r="O138">
        <v>11.07</v>
      </c>
      <c r="P138">
        <v>2024</v>
      </c>
      <c r="Q138">
        <v>3530600000</v>
      </c>
      <c r="R138">
        <v>503000000</v>
      </c>
      <c r="S138">
        <v>382800000</v>
      </c>
      <c r="T138">
        <v>261900000</v>
      </c>
      <c r="U138">
        <v>4714300000</v>
      </c>
      <c r="V138">
        <v>1161900000</v>
      </c>
      <c r="W138">
        <v>1060600000</v>
      </c>
      <c r="X138">
        <v>101300000</v>
      </c>
      <c r="Y138">
        <v>92400000</v>
      </c>
      <c r="Z138" s="1">
        <v>46085</v>
      </c>
      <c r="AA138">
        <v>159.19999999999999</v>
      </c>
      <c r="AB138">
        <v>33732610</v>
      </c>
      <c r="AC138">
        <v>13.857900000000001</v>
      </c>
      <c r="AD138">
        <v>5.6313000000000004</v>
      </c>
      <c r="AE138">
        <v>16.585899999999999</v>
      </c>
      <c r="AF138">
        <v>0.1111</v>
      </c>
      <c r="AG138">
        <v>13.857896172379299</v>
      </c>
      <c r="AH138">
        <v>5.6313223644119432</v>
      </c>
      <c r="AI138">
        <v>16.585896044440837</v>
      </c>
      <c r="AJ138">
        <v>12.208323991607553</v>
      </c>
      <c r="AK138">
        <v>10.723093884691849</v>
      </c>
    </row>
    <row r="139" spans="1:37" x14ac:dyDescent="0.35">
      <c r="A139">
        <v>109</v>
      </c>
      <c r="B139" t="s">
        <v>271</v>
      </c>
      <c r="C139" t="s">
        <v>272</v>
      </c>
      <c r="D139" t="s">
        <v>35</v>
      </c>
      <c r="E139" t="s">
        <v>50</v>
      </c>
      <c r="F139">
        <v>6418161152</v>
      </c>
      <c r="G139">
        <v>0.20849999999999999</v>
      </c>
      <c r="H139">
        <v>0.13850000000000001</v>
      </c>
      <c r="I139">
        <v>1.65</v>
      </c>
      <c r="J139">
        <v>5.96E-2</v>
      </c>
      <c r="L139">
        <v>8.8200000000000001E-2</v>
      </c>
      <c r="N139">
        <v>572720000</v>
      </c>
      <c r="O139">
        <v>5.74</v>
      </c>
      <c r="P139">
        <v>2024</v>
      </c>
      <c r="Q139">
        <v>6773324000</v>
      </c>
      <c r="R139">
        <v>1412467000</v>
      </c>
      <c r="S139">
        <v>839747000</v>
      </c>
      <c r="T139">
        <v>467981000</v>
      </c>
      <c r="U139">
        <v>13680622000</v>
      </c>
      <c r="V139">
        <v>3829455000</v>
      </c>
      <c r="W139">
        <v>1502741000</v>
      </c>
      <c r="X139">
        <v>2326714000</v>
      </c>
      <c r="Y139">
        <v>403673000</v>
      </c>
      <c r="Z139" s="1">
        <v>46085</v>
      </c>
      <c r="AA139">
        <v>5.9340000000000002</v>
      </c>
      <c r="AB139">
        <v>1084881933</v>
      </c>
      <c r="AC139">
        <v>18.493500000000001</v>
      </c>
      <c r="AD139">
        <v>7.7763999999999998</v>
      </c>
      <c r="AE139">
        <v>8.8550000000000004</v>
      </c>
      <c r="AF139">
        <v>-0.54590000000000005</v>
      </c>
      <c r="AG139">
        <v>18.493469103251797</v>
      </c>
      <c r="AH139">
        <v>7.776355880560633</v>
      </c>
      <c r="AI139">
        <v>8.8550418208644377</v>
      </c>
      <c r="AJ139">
        <v>12.386806951728239</v>
      </c>
      <c r="AK139">
        <v>4.5439370633083813</v>
      </c>
    </row>
    <row r="140" spans="1:37" x14ac:dyDescent="0.35">
      <c r="A140">
        <v>159</v>
      </c>
      <c r="B140" t="s">
        <v>370</v>
      </c>
      <c r="C140" t="s">
        <v>371</v>
      </c>
      <c r="D140" t="s">
        <v>35</v>
      </c>
      <c r="E140" t="s">
        <v>32</v>
      </c>
      <c r="F140">
        <v>1314932864</v>
      </c>
      <c r="G140">
        <v>8.3000000000000004E-2</v>
      </c>
      <c r="H140">
        <v>0.1023</v>
      </c>
      <c r="I140">
        <v>2.48</v>
      </c>
      <c r="J140">
        <v>2.9700000000000001E-2</v>
      </c>
      <c r="L140">
        <v>1.8700000000000001E-2</v>
      </c>
      <c r="N140">
        <v>250552000</v>
      </c>
      <c r="O140">
        <v>6.83</v>
      </c>
      <c r="P140">
        <v>2024</v>
      </c>
      <c r="Q140">
        <v>6160886000</v>
      </c>
      <c r="R140">
        <v>510496000</v>
      </c>
      <c r="S140">
        <v>235492000</v>
      </c>
      <c r="T140">
        <v>125140000</v>
      </c>
      <c r="U140">
        <v>4477074000</v>
      </c>
      <c r="V140">
        <v>1572497000</v>
      </c>
      <c r="W140">
        <v>370253000</v>
      </c>
      <c r="X140">
        <v>1202244000</v>
      </c>
      <c r="Y140">
        <v>170514000</v>
      </c>
      <c r="Z140" s="1">
        <v>46085</v>
      </c>
      <c r="AA140">
        <v>82.2</v>
      </c>
      <c r="AB140">
        <v>15996751</v>
      </c>
      <c r="AC140">
        <v>16.738199999999999</v>
      </c>
      <c r="AD140">
        <v>3.6974999999999998</v>
      </c>
      <c r="AE140">
        <v>7.3291000000000004</v>
      </c>
      <c r="AF140">
        <v>-1.2452000000000001</v>
      </c>
      <c r="AG140">
        <v>16.738158014364934</v>
      </c>
      <c r="AH140">
        <v>3.6975421490960794</v>
      </c>
      <c r="AI140">
        <v>7.3290943760205813</v>
      </c>
      <c r="AJ140">
        <v>10.003254163280973</v>
      </c>
      <c r="AK140">
        <v>2.5757946467749013</v>
      </c>
    </row>
    <row r="141" spans="1:37" x14ac:dyDescent="0.35">
      <c r="A141">
        <v>110</v>
      </c>
      <c r="B141" t="s">
        <v>273</v>
      </c>
      <c r="C141" t="s">
        <v>274</v>
      </c>
      <c r="D141" t="s">
        <v>192</v>
      </c>
      <c r="E141" t="s">
        <v>59</v>
      </c>
      <c r="F141">
        <v>22969661440</v>
      </c>
      <c r="G141">
        <v>0.25950000000000001</v>
      </c>
      <c r="H141">
        <v>9.4100000000000003E-2</v>
      </c>
      <c r="I141">
        <v>-0.03</v>
      </c>
      <c r="J141">
        <v>5.62E-2</v>
      </c>
      <c r="L141">
        <v>0.3034</v>
      </c>
      <c r="N141">
        <v>632854000</v>
      </c>
      <c r="O141">
        <v>7.4</v>
      </c>
      <c r="P141">
        <v>2024</v>
      </c>
      <c r="Q141">
        <v>12523934000</v>
      </c>
      <c r="R141">
        <v>3250519000</v>
      </c>
      <c r="S141">
        <v>2617665000</v>
      </c>
      <c r="T141">
        <v>2036445000</v>
      </c>
      <c r="U141">
        <v>20450125000</v>
      </c>
      <c r="V141">
        <v>582324000</v>
      </c>
      <c r="W141">
        <v>675256000</v>
      </c>
      <c r="X141">
        <v>-92932000</v>
      </c>
      <c r="Y141">
        <v>704347000</v>
      </c>
      <c r="Z141" s="1">
        <v>46085</v>
      </c>
      <c r="AA141">
        <v>22.76</v>
      </c>
      <c r="AB141">
        <v>1009642329</v>
      </c>
      <c r="AC141">
        <v>16.340499999999999</v>
      </c>
      <c r="AD141">
        <v>9.4338999999999995</v>
      </c>
      <c r="AE141">
        <v>19.936</v>
      </c>
      <c r="AF141">
        <v>0.46110000000000001</v>
      </c>
      <c r="AG141">
        <v>16.34054611025244</v>
      </c>
      <c r="AH141">
        <v>9.4338817794028031</v>
      </c>
      <c r="AI141">
        <v>19.936024483310241</v>
      </c>
      <c r="AJ141">
        <v>15.347190322914887</v>
      </c>
      <c r="AK141">
        <v>7.0664596761317195</v>
      </c>
    </row>
    <row r="142" spans="1:37" x14ac:dyDescent="0.35">
      <c r="A142">
        <v>161</v>
      </c>
      <c r="B142" t="s">
        <v>374</v>
      </c>
      <c r="C142" t="s">
        <v>375</v>
      </c>
      <c r="D142" t="s">
        <v>31</v>
      </c>
      <c r="E142" t="s">
        <v>32</v>
      </c>
      <c r="F142">
        <v>407202016</v>
      </c>
      <c r="G142">
        <v>6.1800000000000001E-2</v>
      </c>
      <c r="H142">
        <v>6.1400000000000003E-2</v>
      </c>
      <c r="I142">
        <v>-0.28000000000000003</v>
      </c>
      <c r="J142">
        <v>3.8600000000000002E-2</v>
      </c>
      <c r="L142">
        <v>1.7000000000000001E-2</v>
      </c>
      <c r="N142">
        <v>77000000</v>
      </c>
      <c r="O142">
        <v>2.2799999999999998</v>
      </c>
      <c r="P142">
        <v>2024</v>
      </c>
      <c r="Q142">
        <v>2395000000</v>
      </c>
      <c r="R142">
        <v>173000000</v>
      </c>
      <c r="S142">
        <v>94000000</v>
      </c>
      <c r="T142">
        <v>39000000</v>
      </c>
      <c r="U142">
        <v>2114000000</v>
      </c>
      <c r="V142">
        <v>73000000</v>
      </c>
      <c r="W142">
        <v>111000000</v>
      </c>
      <c r="X142">
        <v>-38000000</v>
      </c>
      <c r="Y142">
        <v>65000000</v>
      </c>
      <c r="Z142" s="1">
        <v>46085</v>
      </c>
      <c r="AA142">
        <v>1.3380000000000001</v>
      </c>
      <c r="AB142">
        <v>304336334</v>
      </c>
      <c r="AC142">
        <v>14.754899999999999</v>
      </c>
      <c r="AD142">
        <v>3.0085000000000002</v>
      </c>
      <c r="AE142">
        <v>25</v>
      </c>
      <c r="AF142">
        <v>0.3281</v>
      </c>
      <c r="AG142">
        <v>14.754947419462365</v>
      </c>
      <c r="AH142">
        <v>3.0085313833028642</v>
      </c>
      <c r="AI142">
        <v>25</v>
      </c>
      <c r="AJ142">
        <v>14.304538382775807</v>
      </c>
      <c r="AK142">
        <v>2.3537688786127169</v>
      </c>
    </row>
    <row r="143" spans="1:37" x14ac:dyDescent="0.35">
      <c r="A143">
        <v>113</v>
      </c>
      <c r="B143" t="s">
        <v>279</v>
      </c>
      <c r="C143" t="s">
        <v>280</v>
      </c>
      <c r="D143" t="s">
        <v>58</v>
      </c>
      <c r="E143" t="s">
        <v>109</v>
      </c>
      <c r="F143">
        <v>15394557952</v>
      </c>
      <c r="G143">
        <v>0.16339999999999999</v>
      </c>
      <c r="H143">
        <v>7.3400000000000007E-2</v>
      </c>
      <c r="I143">
        <v>2.2799999999999998</v>
      </c>
      <c r="J143">
        <v>3.0300000000000001E-2</v>
      </c>
      <c r="L143">
        <v>6.88E-2</v>
      </c>
      <c r="N143">
        <v>443000000</v>
      </c>
      <c r="O143">
        <v>16.440000000000001</v>
      </c>
      <c r="P143">
        <v>2024</v>
      </c>
      <c r="Q143">
        <v>8837000000</v>
      </c>
      <c r="R143">
        <v>1454000000</v>
      </c>
      <c r="S143">
        <v>997000000</v>
      </c>
      <c r="T143">
        <v>561000000</v>
      </c>
      <c r="U143">
        <v>23710000000</v>
      </c>
      <c r="V143">
        <v>5568000000</v>
      </c>
      <c r="W143">
        <v>1264000000</v>
      </c>
      <c r="X143">
        <v>4304000000</v>
      </c>
      <c r="Y143">
        <v>330000000</v>
      </c>
      <c r="Z143" s="1">
        <v>46085</v>
      </c>
      <c r="AA143">
        <v>31.74</v>
      </c>
      <c r="AB143">
        <v>484486123</v>
      </c>
      <c r="AC143">
        <v>15.3368</v>
      </c>
      <c r="AD143">
        <v>6.3106</v>
      </c>
      <c r="AE143">
        <v>7.6261999999999999</v>
      </c>
      <c r="AF143">
        <v>-1.0691999999999999</v>
      </c>
      <c r="AG143">
        <v>15.336818498651382</v>
      </c>
      <c r="AH143">
        <v>6.3105829778590286</v>
      </c>
      <c r="AI143">
        <v>7.6261676002959415</v>
      </c>
      <c r="AJ143">
        <v>10.315752572907044</v>
      </c>
      <c r="AK143">
        <v>10.587728990371389</v>
      </c>
    </row>
    <row r="144" spans="1:37" x14ac:dyDescent="0.35">
      <c r="A144">
        <v>128</v>
      </c>
      <c r="B144" t="s">
        <v>309</v>
      </c>
      <c r="C144" t="s">
        <v>310</v>
      </c>
      <c r="D144" t="s">
        <v>91</v>
      </c>
      <c r="E144" t="s">
        <v>39</v>
      </c>
      <c r="F144">
        <v>7915874304</v>
      </c>
      <c r="G144">
        <v>0.25030000000000002</v>
      </c>
      <c r="H144">
        <v>5.9200000000000003E-2</v>
      </c>
      <c r="I144">
        <v>1.89</v>
      </c>
      <c r="J144">
        <v>2.35E-2</v>
      </c>
      <c r="L144">
        <v>8.8999999999999996E-2</v>
      </c>
      <c r="N144">
        <v>90000000</v>
      </c>
      <c r="O144">
        <v>15.79</v>
      </c>
      <c r="P144">
        <v>2024</v>
      </c>
      <c r="Q144">
        <v>2332000000</v>
      </c>
      <c r="R144">
        <v>565000000</v>
      </c>
      <c r="S144">
        <v>469000000</v>
      </c>
      <c r="T144">
        <v>323000000</v>
      </c>
      <c r="U144">
        <v>3639000000</v>
      </c>
      <c r="V144">
        <v>1246000000</v>
      </c>
      <c r="W144">
        <v>508000000</v>
      </c>
      <c r="X144">
        <v>738000000</v>
      </c>
      <c r="Y144">
        <v>37000000</v>
      </c>
      <c r="Z144" s="1">
        <v>46085</v>
      </c>
      <c r="AA144">
        <v>847.2</v>
      </c>
      <c r="AB144">
        <v>936125246</v>
      </c>
      <c r="AC144">
        <v>14.648300000000001</v>
      </c>
      <c r="AD144">
        <v>9.1349</v>
      </c>
      <c r="AE144">
        <v>8.3237000000000005</v>
      </c>
      <c r="AF144">
        <v>-0.75080000000000002</v>
      </c>
      <c r="AG144">
        <v>14.648271054944381</v>
      </c>
      <c r="AH144">
        <v>9.1348771074548054</v>
      </c>
      <c r="AI144">
        <v>8.32372431307539</v>
      </c>
      <c r="AJ144">
        <v>11.09688884813681</v>
      </c>
      <c r="AK144">
        <v>14.010396998230089</v>
      </c>
    </row>
    <row r="145" spans="1:37" x14ac:dyDescent="0.35">
      <c r="A145">
        <v>114</v>
      </c>
      <c r="B145" t="s">
        <v>281</v>
      </c>
      <c r="C145" t="s">
        <v>282</v>
      </c>
      <c r="D145" t="s">
        <v>62</v>
      </c>
      <c r="E145" t="s">
        <v>36</v>
      </c>
      <c r="F145">
        <v>11287266304</v>
      </c>
      <c r="G145">
        <v>0</v>
      </c>
      <c r="H145">
        <v>0.12609999999999999</v>
      </c>
      <c r="I145">
        <v>0</v>
      </c>
      <c r="J145">
        <v>8.2000000000000007E-3</v>
      </c>
      <c r="L145">
        <v>7.0300000000000001E-2</v>
      </c>
      <c r="N145">
        <v>0</v>
      </c>
      <c r="O145">
        <v>-1.1000000000000001</v>
      </c>
      <c r="Z145" s="1">
        <v>46085</v>
      </c>
      <c r="AA145">
        <v>3.6859999999999999</v>
      </c>
      <c r="AB145">
        <v>3063861435</v>
      </c>
      <c r="AC145">
        <v>17.892199999999999</v>
      </c>
      <c r="AD145">
        <v>1</v>
      </c>
      <c r="AE145">
        <v>19.4117</v>
      </c>
      <c r="AF145">
        <v>0.17649999999999999</v>
      </c>
      <c r="AG145">
        <v>17.892202321423149</v>
      </c>
      <c r="AH145">
        <v>1</v>
      </c>
      <c r="AI145">
        <v>19.411656553748074</v>
      </c>
      <c r="AJ145">
        <v>13.280377894693682</v>
      </c>
    </row>
    <row r="146" spans="1:37" x14ac:dyDescent="0.35">
      <c r="A146">
        <v>146</v>
      </c>
      <c r="B146" t="s">
        <v>344</v>
      </c>
      <c r="C146" t="s">
        <v>345</v>
      </c>
      <c r="D146" t="s">
        <v>53</v>
      </c>
      <c r="E146" t="s">
        <v>50</v>
      </c>
      <c r="F146">
        <v>6047907328</v>
      </c>
      <c r="G146">
        <v>0.1115</v>
      </c>
      <c r="H146">
        <v>-1.1999999999999999E-3</v>
      </c>
      <c r="I146">
        <v>2.39</v>
      </c>
      <c r="J146">
        <v>6.59E-2</v>
      </c>
      <c r="L146">
        <v>0.17929999999999999</v>
      </c>
      <c r="N146">
        <v>562400000</v>
      </c>
      <c r="O146">
        <v>8.08</v>
      </c>
      <c r="P146">
        <v>2024</v>
      </c>
      <c r="Q146">
        <v>13058400000</v>
      </c>
      <c r="R146">
        <v>1456500000</v>
      </c>
      <c r="S146">
        <v>894100000</v>
      </c>
      <c r="T146">
        <v>494500000</v>
      </c>
      <c r="U146">
        <v>15060600000</v>
      </c>
      <c r="V146">
        <v>4794300000</v>
      </c>
      <c r="W146">
        <v>1315600000</v>
      </c>
      <c r="X146">
        <v>3478700000</v>
      </c>
      <c r="Y146">
        <v>860300000</v>
      </c>
      <c r="Z146" s="1">
        <v>46085</v>
      </c>
      <c r="AA146">
        <v>4.12</v>
      </c>
      <c r="AB146">
        <v>1467938745</v>
      </c>
      <c r="AC146">
        <v>11.7195</v>
      </c>
      <c r="AD146">
        <v>4.6238000000000001</v>
      </c>
      <c r="AE146">
        <v>7.4584000000000001</v>
      </c>
      <c r="AF146">
        <v>-1.3019000000000001</v>
      </c>
      <c r="AG146">
        <v>11.719519956359662</v>
      </c>
      <c r="AH146">
        <v>4.6238066219784679</v>
      </c>
      <c r="AI146">
        <v>7.4584395320767563</v>
      </c>
      <c r="AJ146">
        <v>8.3124818287604327</v>
      </c>
      <c r="AK146">
        <v>4.152356558874013</v>
      </c>
    </row>
    <row r="147" spans="1:37" x14ac:dyDescent="0.35">
      <c r="A147">
        <v>124</v>
      </c>
      <c r="B147" t="s">
        <v>301</v>
      </c>
      <c r="C147" t="s">
        <v>302</v>
      </c>
      <c r="D147" t="s">
        <v>62</v>
      </c>
      <c r="E147" t="s">
        <v>32</v>
      </c>
      <c r="F147">
        <v>30173403136</v>
      </c>
      <c r="G147">
        <v>0</v>
      </c>
      <c r="H147">
        <v>0.1883</v>
      </c>
      <c r="I147">
        <v>0</v>
      </c>
      <c r="J147">
        <v>0</v>
      </c>
      <c r="L147">
        <v>-2.4400000000000002E-2</v>
      </c>
      <c r="O147">
        <v>6.23</v>
      </c>
      <c r="P147">
        <v>2024</v>
      </c>
      <c r="Q147">
        <v>23910800000</v>
      </c>
      <c r="R147">
        <v>0</v>
      </c>
      <c r="S147">
        <v>3365400000</v>
      </c>
      <c r="T147">
        <v>2328700000</v>
      </c>
      <c r="U147">
        <v>72127300000</v>
      </c>
      <c r="V147">
        <v>4668900000</v>
      </c>
      <c r="W147">
        <v>1253100000</v>
      </c>
      <c r="X147">
        <v>3415800000</v>
      </c>
      <c r="Y147">
        <v>0</v>
      </c>
      <c r="Z147" s="1">
        <v>46085</v>
      </c>
      <c r="AA147">
        <v>250.6</v>
      </c>
      <c r="AB147">
        <v>120597134</v>
      </c>
      <c r="AC147">
        <v>20.908200000000001</v>
      </c>
      <c r="AD147">
        <v>1</v>
      </c>
      <c r="AE147">
        <v>19.4117</v>
      </c>
      <c r="AF147">
        <v>0.2636</v>
      </c>
      <c r="AG147">
        <v>20.908234081886221</v>
      </c>
      <c r="AH147">
        <v>1</v>
      </c>
      <c r="AI147">
        <v>19.411656553748074</v>
      </c>
      <c r="AJ147">
        <v>14.486790598878912</v>
      </c>
      <c r="AK147" t="e">
        <v>#NUM!</v>
      </c>
    </row>
    <row r="148" spans="1:37" x14ac:dyDescent="0.35">
      <c r="A148">
        <v>117</v>
      </c>
      <c r="B148" t="s">
        <v>287</v>
      </c>
      <c r="C148" t="s">
        <v>288</v>
      </c>
      <c r="D148" t="s">
        <v>35</v>
      </c>
      <c r="E148" t="s">
        <v>50</v>
      </c>
      <c r="F148">
        <v>14318662656</v>
      </c>
      <c r="G148">
        <v>0.4022</v>
      </c>
      <c r="H148">
        <v>5.5500000000000001E-2</v>
      </c>
      <c r="I148">
        <v>-0.18</v>
      </c>
      <c r="J148">
        <v>6.2799999999999995E-2</v>
      </c>
      <c r="L148">
        <v>0.1535</v>
      </c>
      <c r="N148">
        <v>306844000</v>
      </c>
      <c r="O148">
        <v>0</v>
      </c>
      <c r="P148">
        <v>2024</v>
      </c>
      <c r="Q148">
        <v>3108924000</v>
      </c>
      <c r="R148">
        <v>1250430000</v>
      </c>
      <c r="S148">
        <v>943586000</v>
      </c>
      <c r="T148">
        <v>639596000</v>
      </c>
      <c r="U148">
        <v>5504590000</v>
      </c>
      <c r="V148">
        <v>957308000</v>
      </c>
      <c r="W148">
        <v>1187978000</v>
      </c>
      <c r="X148">
        <v>-230670000</v>
      </c>
      <c r="Y148">
        <v>195195000</v>
      </c>
      <c r="Z148" s="1">
        <v>46085</v>
      </c>
      <c r="AA148">
        <v>52.74</v>
      </c>
      <c r="AB148">
        <v>271598300</v>
      </c>
      <c r="AC148">
        <v>14.4689</v>
      </c>
      <c r="AD148">
        <v>14.0717</v>
      </c>
      <c r="AE148">
        <v>23.133400000000002</v>
      </c>
      <c r="AF148">
        <v>0.66830000000000001</v>
      </c>
      <c r="AG148">
        <v>14.468860805527765</v>
      </c>
      <c r="AH148">
        <v>14.071704245378836</v>
      </c>
      <c r="AI148">
        <v>23.133389907469798</v>
      </c>
      <c r="AJ148">
        <v>16.949072568065695</v>
      </c>
      <c r="AK148">
        <v>11.450990983901537</v>
      </c>
    </row>
    <row r="149" spans="1:37" x14ac:dyDescent="0.35">
      <c r="A149">
        <v>118</v>
      </c>
      <c r="B149" t="s">
        <v>289</v>
      </c>
      <c r="C149" t="s">
        <v>290</v>
      </c>
      <c r="D149" t="s">
        <v>91</v>
      </c>
      <c r="E149" t="s">
        <v>43</v>
      </c>
      <c r="F149">
        <v>415491904</v>
      </c>
      <c r="G149">
        <v>8.0299999999999996E-2</v>
      </c>
      <c r="H149">
        <v>0.77400000000000002</v>
      </c>
      <c r="I149">
        <v>4.75</v>
      </c>
      <c r="J149">
        <v>6.08E-2</v>
      </c>
      <c r="L149">
        <v>8.1299999999999997E-2</v>
      </c>
      <c r="N149">
        <v>350300000</v>
      </c>
      <c r="O149">
        <v>-0.77</v>
      </c>
      <c r="P149">
        <v>2024</v>
      </c>
      <c r="Q149">
        <v>4631900000</v>
      </c>
      <c r="R149">
        <v>372000000</v>
      </c>
      <c r="S149">
        <v>-238200000</v>
      </c>
      <c r="T149">
        <v>-297000000</v>
      </c>
      <c r="U149">
        <v>19424500000</v>
      </c>
      <c r="V149">
        <v>3533400000</v>
      </c>
      <c r="W149">
        <v>1766400000</v>
      </c>
      <c r="X149">
        <v>1767000000</v>
      </c>
      <c r="Y149">
        <v>281500000</v>
      </c>
      <c r="Z149" s="1">
        <v>46085</v>
      </c>
      <c r="AA149">
        <v>1.4710000000000001</v>
      </c>
      <c r="AB149">
        <v>282455410</v>
      </c>
      <c r="AC149">
        <v>25</v>
      </c>
      <c r="AD149">
        <v>3.6097999999999999</v>
      </c>
      <c r="AE149">
        <v>5.4057000000000004</v>
      </c>
      <c r="AF149">
        <v>-1.67</v>
      </c>
      <c r="AG149">
        <v>25</v>
      </c>
      <c r="AH149">
        <v>3.6097907779809058</v>
      </c>
      <c r="AI149">
        <v>5.4057131597904693</v>
      </c>
      <c r="AJ149">
        <v>12.704651181331412</v>
      </c>
      <c r="AK149">
        <v>1.1169137204301076</v>
      </c>
    </row>
    <row r="150" spans="1:37" x14ac:dyDescent="0.35">
      <c r="A150">
        <v>119</v>
      </c>
      <c r="B150" t="s">
        <v>291</v>
      </c>
      <c r="C150" t="s">
        <v>292</v>
      </c>
      <c r="D150" t="s">
        <v>35</v>
      </c>
      <c r="E150" t="s">
        <v>39</v>
      </c>
      <c r="F150">
        <v>982055872</v>
      </c>
      <c r="G150">
        <v>0.37319999999999998</v>
      </c>
      <c r="H150">
        <v>0.23960000000000001</v>
      </c>
      <c r="I150">
        <v>0.71</v>
      </c>
      <c r="J150">
        <v>0.1837</v>
      </c>
      <c r="L150">
        <v>-3.0200000000000001E-2</v>
      </c>
      <c r="N150">
        <v>180000000</v>
      </c>
      <c r="O150">
        <v>-101.41</v>
      </c>
      <c r="P150">
        <v>2024</v>
      </c>
      <c r="Q150">
        <v>848000000</v>
      </c>
      <c r="R150">
        <v>316500000</v>
      </c>
      <c r="S150">
        <v>136500000</v>
      </c>
      <c r="T150">
        <v>223200000</v>
      </c>
      <c r="U150">
        <v>3297900000</v>
      </c>
      <c r="V150">
        <v>494000000</v>
      </c>
      <c r="W150">
        <v>268100000</v>
      </c>
      <c r="X150">
        <v>225900000</v>
      </c>
      <c r="Y150">
        <v>155800000</v>
      </c>
      <c r="Z150" s="1">
        <v>46085</v>
      </c>
      <c r="AA150">
        <v>347.5</v>
      </c>
      <c r="AB150">
        <v>282471001</v>
      </c>
      <c r="AC150">
        <v>23.395700000000001</v>
      </c>
      <c r="AD150">
        <v>13.129200000000001</v>
      </c>
      <c r="AE150">
        <v>12.372</v>
      </c>
      <c r="AF150">
        <v>0.35730000000000001</v>
      </c>
      <c r="AG150">
        <v>23.395732945419265</v>
      </c>
      <c r="AH150">
        <v>13.129189518586227</v>
      </c>
      <c r="AI150">
        <v>12.372042653368643</v>
      </c>
      <c r="AJ150">
        <v>17.008662829754165</v>
      </c>
      <c r="AK150">
        <v>3.1028621548183253</v>
      </c>
    </row>
    <row r="151" spans="1:37" x14ac:dyDescent="0.35">
      <c r="A151">
        <v>120</v>
      </c>
      <c r="B151" t="s">
        <v>293</v>
      </c>
      <c r="C151" t="s">
        <v>294</v>
      </c>
      <c r="D151" t="s">
        <v>31</v>
      </c>
      <c r="E151" t="s">
        <v>32</v>
      </c>
      <c r="F151">
        <v>9803232256</v>
      </c>
      <c r="G151">
        <v>4.2900000000000001E-2</v>
      </c>
      <c r="H151">
        <v>2.7099999999999999E-2</v>
      </c>
      <c r="I151">
        <v>-2.08</v>
      </c>
      <c r="J151">
        <v>2.2499999999999999E-2</v>
      </c>
      <c r="L151">
        <v>0.10349999999999999</v>
      </c>
      <c r="N151">
        <v>180996000</v>
      </c>
      <c r="O151">
        <v>12.62</v>
      </c>
      <c r="P151">
        <v>2024</v>
      </c>
      <c r="Q151">
        <v>7298825000</v>
      </c>
      <c r="R151">
        <v>313325000</v>
      </c>
      <c r="S151">
        <v>132329000</v>
      </c>
      <c r="T151">
        <v>8836000</v>
      </c>
      <c r="U151">
        <v>5631150000</v>
      </c>
      <c r="V151">
        <v>500562000</v>
      </c>
      <c r="W151">
        <v>1151438000</v>
      </c>
      <c r="X151">
        <v>-650876000</v>
      </c>
      <c r="Y151">
        <v>164190000</v>
      </c>
      <c r="Z151" s="1">
        <v>46085</v>
      </c>
      <c r="AA151">
        <v>41.54</v>
      </c>
      <c r="AB151">
        <v>236450364</v>
      </c>
      <c r="AC151">
        <v>13.091799999999999</v>
      </c>
      <c r="AD151">
        <v>2.3942999999999999</v>
      </c>
      <c r="AE151">
        <v>1</v>
      </c>
      <c r="AF151">
        <v>1.3373999999999999</v>
      </c>
      <c r="AG151">
        <v>13.091765918113762</v>
      </c>
      <c r="AH151">
        <v>2.3942717854966484</v>
      </c>
      <c r="AI151">
        <v>1</v>
      </c>
      <c r="AJ151">
        <v>6.2549879028944995</v>
      </c>
      <c r="AK151">
        <v>31.287743576158942</v>
      </c>
    </row>
    <row r="152" spans="1:37" x14ac:dyDescent="0.35">
      <c r="A152">
        <v>122</v>
      </c>
      <c r="B152" t="s">
        <v>297</v>
      </c>
      <c r="C152" t="s">
        <v>298</v>
      </c>
      <c r="D152" t="s">
        <v>232</v>
      </c>
      <c r="E152" t="s">
        <v>232</v>
      </c>
      <c r="F152">
        <v>44709027840</v>
      </c>
      <c r="G152">
        <v>0.39190000000000003</v>
      </c>
      <c r="H152">
        <v>8.77E-2</v>
      </c>
      <c r="I152">
        <v>-0.12</v>
      </c>
      <c r="J152">
        <v>5.57E-2</v>
      </c>
      <c r="L152">
        <v>0.16950000000000001</v>
      </c>
      <c r="N152">
        <v>1818000000</v>
      </c>
      <c r="O152">
        <v>0</v>
      </c>
      <c r="P152">
        <v>2024</v>
      </c>
      <c r="Q152">
        <v>27716000000</v>
      </c>
      <c r="R152">
        <v>676000000</v>
      </c>
      <c r="S152">
        <v>-730000000</v>
      </c>
      <c r="T152">
        <v>-667000000</v>
      </c>
      <c r="U152">
        <v>55012000000</v>
      </c>
      <c r="V152">
        <v>5058000000</v>
      </c>
      <c r="W152">
        <v>6514000000</v>
      </c>
      <c r="X152">
        <v>-1456000000</v>
      </c>
      <c r="Y152">
        <v>1544000000</v>
      </c>
      <c r="Z152" s="1"/>
      <c r="AC152">
        <v>16.030200000000001</v>
      </c>
      <c r="AD152">
        <v>13.7369</v>
      </c>
      <c r="AE152">
        <v>21.723600000000001</v>
      </c>
      <c r="AF152">
        <v>0.66510000000000002</v>
      </c>
      <c r="AG152">
        <v>16.030214868018295</v>
      </c>
      <c r="AH152">
        <v>13.736949014828355</v>
      </c>
      <c r="AI152">
        <v>21.723642424999447</v>
      </c>
      <c r="AJ152">
        <v>17.050263379155659</v>
      </c>
      <c r="AK152">
        <v>66.137615147928997</v>
      </c>
    </row>
    <row r="153" spans="1:37" x14ac:dyDescent="0.35">
      <c r="A153">
        <v>123</v>
      </c>
      <c r="B153" t="s">
        <v>299</v>
      </c>
      <c r="C153" t="s">
        <v>300</v>
      </c>
      <c r="D153" t="s">
        <v>46</v>
      </c>
      <c r="E153" t="s">
        <v>43</v>
      </c>
      <c r="F153">
        <v>1076708736</v>
      </c>
      <c r="G153">
        <v>0.63249999999999995</v>
      </c>
      <c r="H153">
        <v>0.15</v>
      </c>
      <c r="I153">
        <v>7.29</v>
      </c>
      <c r="J153">
        <v>0</v>
      </c>
      <c r="L153">
        <v>1.67E-2</v>
      </c>
      <c r="N153">
        <v>31049000</v>
      </c>
      <c r="O153">
        <v>12.87</v>
      </c>
      <c r="P153">
        <v>2024</v>
      </c>
      <c r="Q153">
        <v>221165000</v>
      </c>
      <c r="R153">
        <v>139886000</v>
      </c>
      <c r="S153">
        <v>102058000</v>
      </c>
      <c r="T153">
        <v>53759000</v>
      </c>
      <c r="U153">
        <v>2160334000</v>
      </c>
      <c r="V153">
        <v>1303489000</v>
      </c>
      <c r="W153">
        <v>283653000</v>
      </c>
      <c r="X153">
        <v>1019836000</v>
      </c>
      <c r="Y153">
        <v>0</v>
      </c>
      <c r="Z153" s="1">
        <v>46085</v>
      </c>
      <c r="AA153">
        <v>11.56</v>
      </c>
      <c r="AB153">
        <v>93302324</v>
      </c>
      <c r="AC153">
        <v>19.051100000000002</v>
      </c>
      <c r="AD153">
        <v>21.5566</v>
      </c>
      <c r="AE153">
        <v>4.5023</v>
      </c>
      <c r="AF153">
        <v>-3.4049999999999998</v>
      </c>
      <c r="AG153">
        <v>19.051095554141273</v>
      </c>
      <c r="AH153">
        <v>21.55657119642494</v>
      </c>
      <c r="AI153">
        <v>4.5022760136879416</v>
      </c>
      <c r="AJ153">
        <v>15.438092384690373</v>
      </c>
      <c r="AK153">
        <v>7.6970442789128288</v>
      </c>
    </row>
    <row r="154" spans="1:37" x14ac:dyDescent="0.35">
      <c r="A154">
        <v>168</v>
      </c>
      <c r="B154" t="s">
        <v>388</v>
      </c>
      <c r="C154" t="s">
        <v>389</v>
      </c>
      <c r="D154" t="s">
        <v>46</v>
      </c>
      <c r="E154" t="s">
        <v>50</v>
      </c>
      <c r="F154">
        <v>7678867456</v>
      </c>
      <c r="G154">
        <v>0.89770000000000005</v>
      </c>
      <c r="H154">
        <v>6.1100000000000002E-2</v>
      </c>
      <c r="I154">
        <v>4.8600000000000003</v>
      </c>
      <c r="J154">
        <v>0.28360000000000002</v>
      </c>
      <c r="L154">
        <v>9.7000000000000003E-2</v>
      </c>
      <c r="N154">
        <v>382113000</v>
      </c>
      <c r="O154">
        <v>16.57</v>
      </c>
      <c r="P154">
        <v>2024</v>
      </c>
      <c r="Q154">
        <v>1036036000</v>
      </c>
      <c r="R154">
        <v>930085000</v>
      </c>
      <c r="S154">
        <v>547972000</v>
      </c>
      <c r="T154">
        <v>353938000</v>
      </c>
      <c r="U154">
        <v>9482281000</v>
      </c>
      <c r="V154">
        <v>4631126000</v>
      </c>
      <c r="W154">
        <v>115133000</v>
      </c>
      <c r="X154">
        <v>4515993000</v>
      </c>
      <c r="Y154">
        <v>293865000</v>
      </c>
      <c r="Z154" s="1">
        <v>46085</v>
      </c>
      <c r="AA154">
        <v>8.5050000000000008</v>
      </c>
      <c r="AB154">
        <v>902344843</v>
      </c>
      <c r="AC154">
        <v>14.740399999999999</v>
      </c>
      <c r="AD154">
        <v>25</v>
      </c>
      <c r="AE154">
        <v>5.3503999999999996</v>
      </c>
      <c r="AF154">
        <v>-1.7532000000000001</v>
      </c>
      <c r="AG154">
        <v>14.740400642482641</v>
      </c>
      <c r="AH154">
        <v>25</v>
      </c>
      <c r="AI154">
        <v>5.3503636439530222</v>
      </c>
      <c r="AJ154">
        <v>15.001269350178962</v>
      </c>
      <c r="AK154">
        <v>8.2560921378153616</v>
      </c>
    </row>
    <row r="155" spans="1:37" x14ac:dyDescent="0.35">
      <c r="A155">
        <v>129</v>
      </c>
      <c r="B155" t="s">
        <v>311</v>
      </c>
      <c r="C155" t="s">
        <v>131</v>
      </c>
      <c r="D155" t="s">
        <v>35</v>
      </c>
      <c r="E155" t="s">
        <v>43</v>
      </c>
      <c r="F155">
        <v>2536675328</v>
      </c>
      <c r="G155">
        <v>0</v>
      </c>
      <c r="H155">
        <v>0.1245</v>
      </c>
      <c r="I155">
        <v>0</v>
      </c>
      <c r="J155">
        <v>0</v>
      </c>
      <c r="O155">
        <v>5.0199999999999996</v>
      </c>
      <c r="Z155" s="1"/>
      <c r="AC155">
        <v>17.814599999999999</v>
      </c>
      <c r="AD155">
        <v>1</v>
      </c>
      <c r="AE155">
        <v>19.4117</v>
      </c>
      <c r="AF155">
        <v>0.17430000000000001</v>
      </c>
      <c r="AG155">
        <v>17.814619510864613</v>
      </c>
      <c r="AH155">
        <v>1</v>
      </c>
      <c r="AI155">
        <v>19.411656553748074</v>
      </c>
      <c r="AJ155">
        <v>13.249344770470266</v>
      </c>
    </row>
    <row r="156" spans="1:37" x14ac:dyDescent="0.35">
      <c r="A156">
        <v>130</v>
      </c>
      <c r="B156" t="s">
        <v>312</v>
      </c>
      <c r="C156" t="s">
        <v>313</v>
      </c>
      <c r="D156" t="s">
        <v>31</v>
      </c>
      <c r="E156" t="s">
        <v>32</v>
      </c>
      <c r="F156">
        <v>73558441984</v>
      </c>
      <c r="G156">
        <v>0.1812</v>
      </c>
      <c r="H156">
        <v>1.34E-2</v>
      </c>
      <c r="I156">
        <v>0.7</v>
      </c>
      <c r="J156">
        <v>7.51E-2</v>
      </c>
      <c r="L156">
        <v>0.20369999999999999</v>
      </c>
      <c r="N156">
        <v>403000000</v>
      </c>
      <c r="O156">
        <v>38.72</v>
      </c>
      <c r="P156">
        <v>2024</v>
      </c>
      <c r="Q156">
        <v>9751000000</v>
      </c>
      <c r="R156">
        <v>1767000000</v>
      </c>
      <c r="S156">
        <v>1364000000</v>
      </c>
      <c r="T156">
        <v>717000000</v>
      </c>
      <c r="U156">
        <v>14344000000</v>
      </c>
      <c r="V156">
        <v>2423000000</v>
      </c>
      <c r="W156">
        <v>1184000000</v>
      </c>
      <c r="X156">
        <v>1239000000</v>
      </c>
      <c r="Y156">
        <v>732000000</v>
      </c>
      <c r="Z156" s="1">
        <v>46085</v>
      </c>
      <c r="AA156">
        <v>1602.5</v>
      </c>
      <c r="AB156">
        <v>45759526</v>
      </c>
      <c r="AC156">
        <v>12.4275</v>
      </c>
      <c r="AD156">
        <v>6.8891</v>
      </c>
      <c r="AE156">
        <v>12.430400000000001</v>
      </c>
      <c r="AF156">
        <v>-0.18379999999999999</v>
      </c>
      <c r="AG156">
        <v>12.4274631027063</v>
      </c>
      <c r="AH156">
        <v>6.8890920170627661</v>
      </c>
      <c r="AI156">
        <v>12.430365883694904</v>
      </c>
      <c r="AJ156">
        <v>10.76682261130982</v>
      </c>
      <c r="AK156">
        <v>41.62899942501415</v>
      </c>
    </row>
    <row r="157" spans="1:37" x14ac:dyDescent="0.35">
      <c r="A157">
        <v>131</v>
      </c>
      <c r="B157" t="s">
        <v>314</v>
      </c>
      <c r="C157" t="s">
        <v>315</v>
      </c>
      <c r="D157" t="s">
        <v>106</v>
      </c>
      <c r="E157" t="s">
        <v>82</v>
      </c>
      <c r="F157">
        <v>36873961472</v>
      </c>
      <c r="G157">
        <v>0.25850000000000001</v>
      </c>
      <c r="H157">
        <v>0.1089</v>
      </c>
      <c r="I157">
        <v>1.1100000000000001</v>
      </c>
      <c r="J157">
        <v>6.25E-2</v>
      </c>
      <c r="O157">
        <v>13.27</v>
      </c>
      <c r="Z157" s="1"/>
      <c r="AC157">
        <v>17.058199999999999</v>
      </c>
      <c r="AD157">
        <v>9.4014000000000006</v>
      </c>
      <c r="AE157">
        <v>10.4924</v>
      </c>
      <c r="AF157">
        <v>-0.20330000000000001</v>
      </c>
      <c r="AG157">
        <v>17.05818710791889</v>
      </c>
      <c r="AH157">
        <v>9.4013812715823679</v>
      </c>
      <c r="AI157">
        <v>10.492431439062674</v>
      </c>
      <c r="AJ157">
        <v>12.791418656361071</v>
      </c>
    </row>
    <row r="158" spans="1:37" x14ac:dyDescent="0.35">
      <c r="A158">
        <v>158</v>
      </c>
      <c r="B158" t="s">
        <v>368</v>
      </c>
      <c r="C158" t="s">
        <v>369</v>
      </c>
      <c r="D158" t="s">
        <v>31</v>
      </c>
      <c r="E158" t="s">
        <v>82</v>
      </c>
      <c r="F158">
        <v>21514006528</v>
      </c>
      <c r="G158">
        <v>0.1008</v>
      </c>
      <c r="H158">
        <v>5.4800000000000001E-2</v>
      </c>
      <c r="I158">
        <v>0.48</v>
      </c>
      <c r="J158">
        <v>1.23E-2</v>
      </c>
      <c r="L158">
        <v>-5.1200000000000002E-2</v>
      </c>
      <c r="N158">
        <v>824000000</v>
      </c>
      <c r="O158">
        <v>16.72</v>
      </c>
      <c r="P158">
        <v>2024</v>
      </c>
      <c r="Q158">
        <v>24802000000</v>
      </c>
      <c r="R158">
        <v>2499000000</v>
      </c>
      <c r="S158">
        <v>1675000000</v>
      </c>
      <c r="T158">
        <v>1181000000</v>
      </c>
      <c r="U158">
        <v>11725000000</v>
      </c>
      <c r="V158">
        <v>2346000000</v>
      </c>
      <c r="W158">
        <v>1152000000</v>
      </c>
      <c r="X158">
        <v>1194000000</v>
      </c>
      <c r="Y158">
        <v>304000000</v>
      </c>
      <c r="Z158" s="1">
        <v>46085</v>
      </c>
      <c r="AA158">
        <v>180.55</v>
      </c>
      <c r="AB158">
        <v>118730720</v>
      </c>
      <c r="AC158">
        <v>14.434900000000001</v>
      </c>
      <c r="AD158">
        <v>4.2760999999999996</v>
      </c>
      <c r="AE158">
        <v>13.9129</v>
      </c>
      <c r="AF158">
        <v>-9.0300000000000005E-2</v>
      </c>
      <c r="AG158">
        <v>14.434918325908406</v>
      </c>
      <c r="AH158">
        <v>4.2760511882998173</v>
      </c>
      <c r="AI158">
        <v>13.912879346447507</v>
      </c>
      <c r="AJ158">
        <v>11.23064649078756</v>
      </c>
      <c r="AK158">
        <v>8.6090462296918773</v>
      </c>
    </row>
    <row r="159" spans="1:37" x14ac:dyDescent="0.35">
      <c r="A159">
        <v>135</v>
      </c>
      <c r="B159" t="s">
        <v>322</v>
      </c>
      <c r="C159" t="s">
        <v>323</v>
      </c>
      <c r="D159" t="s">
        <v>42</v>
      </c>
      <c r="E159" t="s">
        <v>82</v>
      </c>
      <c r="F159">
        <v>37375102976</v>
      </c>
      <c r="G159">
        <v>0.44</v>
      </c>
      <c r="H159">
        <v>8.0399999999999999E-2</v>
      </c>
      <c r="I159">
        <v>0.52</v>
      </c>
      <c r="J159">
        <v>0.19989999999999999</v>
      </c>
      <c r="L159">
        <v>0.12089999999999999</v>
      </c>
      <c r="N159">
        <v>4680000000</v>
      </c>
      <c r="O159">
        <v>12.48</v>
      </c>
      <c r="P159">
        <v>2024</v>
      </c>
      <c r="Q159">
        <v>11017000000</v>
      </c>
      <c r="R159">
        <v>4875000000</v>
      </c>
      <c r="S159">
        <v>2061000000</v>
      </c>
      <c r="T159">
        <v>1542000000</v>
      </c>
      <c r="U159">
        <v>37845000000</v>
      </c>
      <c r="V159">
        <v>3965000000</v>
      </c>
      <c r="W159">
        <v>1523000000</v>
      </c>
      <c r="X159">
        <v>2442000000</v>
      </c>
      <c r="Y159">
        <v>2288000000</v>
      </c>
      <c r="Z159" s="1">
        <v>46085</v>
      </c>
      <c r="AA159">
        <v>720.5</v>
      </c>
      <c r="AB159">
        <v>51801943</v>
      </c>
      <c r="AC159">
        <v>15.6762</v>
      </c>
      <c r="AD159">
        <v>15.3002</v>
      </c>
      <c r="AE159">
        <v>13.6114</v>
      </c>
      <c r="AF159">
        <v>0.3286</v>
      </c>
      <c r="AG159">
        <v>15.676243294844978</v>
      </c>
      <c r="AH159">
        <v>15.300223440991267</v>
      </c>
      <c r="AI159">
        <v>13.611411297801641</v>
      </c>
      <c r="AJ159">
        <v>14.943987739575864</v>
      </c>
      <c r="AK159">
        <v>7.6666877899487176</v>
      </c>
    </row>
    <row r="160" spans="1:37" x14ac:dyDescent="0.35">
      <c r="A160">
        <v>154</v>
      </c>
      <c r="B160" t="s">
        <v>360</v>
      </c>
      <c r="C160" t="s">
        <v>361</v>
      </c>
      <c r="D160" t="s">
        <v>31</v>
      </c>
      <c r="E160" t="s">
        <v>36</v>
      </c>
      <c r="F160">
        <v>4039899392</v>
      </c>
      <c r="G160">
        <v>4.5699999999999998E-2</v>
      </c>
      <c r="H160">
        <v>8.6699999999999999E-2</v>
      </c>
      <c r="I160">
        <v>0</v>
      </c>
      <c r="J160">
        <v>3.5999999999999999E-3</v>
      </c>
      <c r="L160">
        <v>6.2899999999999998E-2</v>
      </c>
      <c r="N160">
        <v>165467000</v>
      </c>
      <c r="O160">
        <v>5.86</v>
      </c>
      <c r="P160">
        <v>2024</v>
      </c>
      <c r="Q160">
        <v>12985534000</v>
      </c>
      <c r="R160">
        <v>592993000</v>
      </c>
      <c r="S160">
        <v>427526000</v>
      </c>
      <c r="T160">
        <v>308235000</v>
      </c>
      <c r="U160">
        <v>8080856000</v>
      </c>
      <c r="V160">
        <v>276439000</v>
      </c>
      <c r="W160">
        <v>169172000</v>
      </c>
      <c r="X160">
        <v>107267000</v>
      </c>
      <c r="Y160">
        <v>47085000</v>
      </c>
      <c r="Z160" s="1">
        <v>46085</v>
      </c>
      <c r="AA160">
        <v>30.58</v>
      </c>
      <c r="AB160">
        <v>132109201</v>
      </c>
      <c r="AC160">
        <v>15.9817</v>
      </c>
      <c r="AD160">
        <v>2.4853000000000001</v>
      </c>
      <c r="AE160">
        <v>19.4117</v>
      </c>
      <c r="AF160">
        <v>0.1762</v>
      </c>
      <c r="AG160">
        <v>15.981725611419209</v>
      </c>
      <c r="AH160">
        <v>2.4852732073938655</v>
      </c>
      <c r="AI160">
        <v>19.411656553748074</v>
      </c>
      <c r="AJ160">
        <v>12.961769172910266</v>
      </c>
      <c r="AK160">
        <v>6.8127269495592699</v>
      </c>
    </row>
    <row r="161" spans="1:37" x14ac:dyDescent="0.35">
      <c r="A161">
        <v>138</v>
      </c>
      <c r="B161" t="s">
        <v>328</v>
      </c>
      <c r="C161" t="s">
        <v>329</v>
      </c>
      <c r="D161" t="s">
        <v>91</v>
      </c>
      <c r="E161" t="s">
        <v>82</v>
      </c>
      <c r="F161">
        <v>10500323328</v>
      </c>
      <c r="G161">
        <v>0.16339999999999999</v>
      </c>
      <c r="H161">
        <v>7.4899999999999994E-2</v>
      </c>
      <c r="I161">
        <v>-1.9</v>
      </c>
      <c r="J161">
        <v>1.23E-2</v>
      </c>
      <c r="L161">
        <v>-5.5100000000000003E-2</v>
      </c>
      <c r="N161">
        <v>79762000</v>
      </c>
      <c r="O161">
        <v>10.199999999999999</v>
      </c>
      <c r="P161">
        <v>2024</v>
      </c>
      <c r="Q161">
        <v>4298467000</v>
      </c>
      <c r="R161">
        <v>679224000</v>
      </c>
      <c r="S161">
        <v>594478000</v>
      </c>
      <c r="T161">
        <v>612143000</v>
      </c>
      <c r="U161">
        <v>3604704000</v>
      </c>
      <c r="V161">
        <v>77027000</v>
      </c>
      <c r="W161">
        <v>1520842000</v>
      </c>
      <c r="X161">
        <v>-1443815000</v>
      </c>
      <c r="Y161">
        <v>55897000</v>
      </c>
      <c r="Z161" s="1">
        <v>46085</v>
      </c>
      <c r="AA161">
        <v>71.599999999999994</v>
      </c>
      <c r="AB161">
        <v>146588946</v>
      </c>
      <c r="AC161">
        <v>15.409599999999999</v>
      </c>
      <c r="AD161">
        <v>6.3106</v>
      </c>
      <c r="AE161">
        <v>1</v>
      </c>
      <c r="AF161">
        <v>1.4409000000000001</v>
      </c>
      <c r="AG161">
        <v>15.409552383550011</v>
      </c>
      <c r="AH161">
        <v>6.3105829778590286</v>
      </c>
      <c r="AI161">
        <v>1</v>
      </c>
      <c r="AJ161">
        <v>8.3569958467777141</v>
      </c>
      <c r="AK161">
        <v>15.459293735203703</v>
      </c>
    </row>
    <row r="162" spans="1:37" x14ac:dyDescent="0.35">
      <c r="A162">
        <v>151</v>
      </c>
      <c r="B162" t="s">
        <v>354</v>
      </c>
      <c r="C162" t="s">
        <v>355</v>
      </c>
      <c r="D162" t="s">
        <v>31</v>
      </c>
      <c r="E162" t="s">
        <v>200</v>
      </c>
      <c r="F162">
        <v>3712840448</v>
      </c>
      <c r="G162">
        <v>-2.2499999999999999E-2</v>
      </c>
      <c r="H162">
        <v>-0.24829999999999999</v>
      </c>
      <c r="I162">
        <v>51.14</v>
      </c>
      <c r="J162">
        <v>0.48949999999999999</v>
      </c>
      <c r="L162">
        <v>6.6000000000000003E-2</v>
      </c>
      <c r="N162">
        <v>1089880000</v>
      </c>
      <c r="O162">
        <v>-8.32</v>
      </c>
      <c r="P162">
        <v>2024</v>
      </c>
      <c r="Q162">
        <v>1389909000</v>
      </c>
      <c r="R162">
        <v>-31218000</v>
      </c>
      <c r="S162">
        <v>-247704000</v>
      </c>
      <c r="T162">
        <v>-244342000</v>
      </c>
      <c r="U162">
        <v>6304212000</v>
      </c>
      <c r="V162">
        <v>260002000</v>
      </c>
      <c r="W162">
        <v>1856388000</v>
      </c>
      <c r="X162">
        <v>-1596386000</v>
      </c>
      <c r="Y162">
        <v>680306000</v>
      </c>
      <c r="Z162" s="1">
        <v>46085</v>
      </c>
      <c r="AA162">
        <v>2.02</v>
      </c>
      <c r="AB162">
        <v>1838039801</v>
      </c>
      <c r="AC162">
        <v>1</v>
      </c>
      <c r="AD162">
        <v>1</v>
      </c>
      <c r="AE162">
        <v>2.7823000000000002</v>
      </c>
      <c r="AF162">
        <v>-31.058599999999998</v>
      </c>
      <c r="AG162">
        <v>1</v>
      </c>
      <c r="AH162">
        <v>1</v>
      </c>
      <c r="AI162">
        <v>2.7822673194590006</v>
      </c>
      <c r="AJ162">
        <v>1.5346801958377001</v>
      </c>
      <c r="AK162">
        <v>-118.9326814017554</v>
      </c>
    </row>
    <row r="163" spans="1:37" x14ac:dyDescent="0.35">
      <c r="A163">
        <v>145</v>
      </c>
      <c r="B163" t="s">
        <v>342</v>
      </c>
      <c r="C163" t="s">
        <v>343</v>
      </c>
      <c r="D163" t="s">
        <v>49</v>
      </c>
      <c r="E163" t="s">
        <v>32</v>
      </c>
      <c r="F163">
        <v>12277496832</v>
      </c>
      <c r="G163">
        <v>0.26319999999999999</v>
      </c>
      <c r="H163">
        <v>3.2199999999999999E-2</v>
      </c>
      <c r="I163">
        <v>4.0199999999999996</v>
      </c>
      <c r="J163">
        <v>0.1249</v>
      </c>
      <c r="L163">
        <v>-4.82E-2</v>
      </c>
      <c r="N163">
        <v>420100000</v>
      </c>
      <c r="O163">
        <v>19.41</v>
      </c>
      <c r="P163">
        <v>2024</v>
      </c>
      <c r="Q163">
        <v>3380700000</v>
      </c>
      <c r="R163">
        <v>786800000</v>
      </c>
      <c r="S163">
        <v>370900000</v>
      </c>
      <c r="T163">
        <v>84000000</v>
      </c>
      <c r="U163">
        <v>10103000000</v>
      </c>
      <c r="V163">
        <v>4559800000</v>
      </c>
      <c r="W163">
        <v>813400000</v>
      </c>
      <c r="X163">
        <v>3746400000</v>
      </c>
      <c r="Y163">
        <v>409900000</v>
      </c>
      <c r="Z163" s="1">
        <v>46085</v>
      </c>
      <c r="AA163">
        <v>178.6</v>
      </c>
      <c r="AB163">
        <v>34238669</v>
      </c>
      <c r="AC163">
        <v>13.3391</v>
      </c>
      <c r="AD163">
        <v>9.5541</v>
      </c>
      <c r="AE163">
        <v>5.8345000000000002</v>
      </c>
      <c r="AF163">
        <v>-2.0510999999999999</v>
      </c>
      <c r="AG163">
        <v>13.339061126769092</v>
      </c>
      <c r="AH163">
        <v>9.5541336583384098</v>
      </c>
      <c r="AI163">
        <v>5.8344964970766533</v>
      </c>
      <c r="AJ163">
        <v>9.9522134973321563</v>
      </c>
      <c r="AK163">
        <v>15.604342694458566</v>
      </c>
    </row>
    <row r="164" spans="1:37" x14ac:dyDescent="0.35">
      <c r="A164">
        <v>155</v>
      </c>
      <c r="B164" t="s">
        <v>362</v>
      </c>
      <c r="C164" t="s">
        <v>363</v>
      </c>
      <c r="D164" t="s">
        <v>91</v>
      </c>
      <c r="E164" t="s">
        <v>39</v>
      </c>
      <c r="F164">
        <v>1452764160</v>
      </c>
      <c r="G164">
        <v>0.12720000000000001</v>
      </c>
      <c r="H164">
        <v>2.29E-2</v>
      </c>
      <c r="I164">
        <v>-0.84</v>
      </c>
      <c r="J164">
        <v>3.1800000000000002E-2</v>
      </c>
      <c r="L164">
        <v>0.1109</v>
      </c>
      <c r="N164">
        <v>21900000</v>
      </c>
      <c r="O164">
        <v>17.739999999999998</v>
      </c>
      <c r="P164">
        <v>2024</v>
      </c>
      <c r="Q164">
        <v>470400000</v>
      </c>
      <c r="R164">
        <v>93100000</v>
      </c>
      <c r="S164">
        <v>73000000</v>
      </c>
      <c r="T164">
        <v>50700000</v>
      </c>
      <c r="U164">
        <v>606300000</v>
      </c>
      <c r="V164">
        <v>47400000</v>
      </c>
      <c r="W164">
        <v>97800000</v>
      </c>
      <c r="X164">
        <v>-50400000</v>
      </c>
      <c r="Y164">
        <v>27700000</v>
      </c>
      <c r="Z164" s="1">
        <v>46085</v>
      </c>
      <c r="AA164">
        <v>2595</v>
      </c>
      <c r="AB164">
        <v>55865542</v>
      </c>
      <c r="AC164">
        <v>12.8881</v>
      </c>
      <c r="AD164">
        <v>5.1341000000000001</v>
      </c>
      <c r="AE164">
        <v>25</v>
      </c>
      <c r="AF164">
        <v>0.68869999999999998</v>
      </c>
      <c r="AG164">
        <v>12.888111040397604</v>
      </c>
      <c r="AH164">
        <v>5.1340645947592929</v>
      </c>
      <c r="AI164">
        <v>25</v>
      </c>
      <c r="AJ164">
        <v>14.19546379458683</v>
      </c>
      <c r="AK164">
        <v>15.604341138560688</v>
      </c>
    </row>
    <row r="165" spans="1:37" x14ac:dyDescent="0.35">
      <c r="A165">
        <v>148</v>
      </c>
      <c r="B165" t="s">
        <v>348</v>
      </c>
      <c r="C165" t="s">
        <v>349</v>
      </c>
      <c r="D165" t="s">
        <v>35</v>
      </c>
      <c r="E165" t="s">
        <v>43</v>
      </c>
      <c r="F165">
        <v>197721276416</v>
      </c>
      <c r="G165">
        <v>0.46839999999999998</v>
      </c>
      <c r="H165">
        <v>2.7199999999999998E-2</v>
      </c>
      <c r="I165">
        <v>-1.32</v>
      </c>
      <c r="J165">
        <v>0</v>
      </c>
      <c r="L165">
        <v>0.114</v>
      </c>
      <c r="N165">
        <v>926000000</v>
      </c>
      <c r="O165">
        <v>25.22</v>
      </c>
      <c r="P165">
        <v>2024</v>
      </c>
      <c r="Q165">
        <v>15170000000</v>
      </c>
      <c r="R165">
        <v>6992000000</v>
      </c>
      <c r="S165">
        <v>6148000000</v>
      </c>
      <c r="T165">
        <v>4603000000</v>
      </c>
      <c r="U165">
        <v>23084000000</v>
      </c>
      <c r="V165">
        <v>2174000000</v>
      </c>
      <c r="W165">
        <v>11642000000</v>
      </c>
      <c r="X165">
        <v>-9468000000</v>
      </c>
      <c r="Y165">
        <v>0</v>
      </c>
      <c r="Z165" s="1">
        <v>46085</v>
      </c>
      <c r="AA165">
        <v>1892</v>
      </c>
      <c r="AB165">
        <v>104836315</v>
      </c>
      <c r="AC165">
        <v>13.0966</v>
      </c>
      <c r="AD165">
        <v>16.223199999999999</v>
      </c>
      <c r="AE165">
        <v>1</v>
      </c>
      <c r="AF165">
        <v>1.3922000000000001</v>
      </c>
      <c r="AG165">
        <v>13.09661484377367</v>
      </c>
      <c r="AH165">
        <v>16.223237863091608</v>
      </c>
      <c r="AI165">
        <v>1</v>
      </c>
      <c r="AJ165">
        <v>10.405617296436951</v>
      </c>
      <c r="AK165">
        <v>28.278214590389016</v>
      </c>
    </row>
    <row r="166" spans="1:37" x14ac:dyDescent="0.35">
      <c r="A166">
        <v>156</v>
      </c>
      <c r="B166" t="s">
        <v>364</v>
      </c>
      <c r="C166" t="s">
        <v>365</v>
      </c>
      <c r="D166" t="s">
        <v>35</v>
      </c>
      <c r="E166" t="s">
        <v>217</v>
      </c>
      <c r="F166">
        <v>35995455488</v>
      </c>
      <c r="G166">
        <v>0.31780000000000003</v>
      </c>
      <c r="H166">
        <v>0.15140000000000001</v>
      </c>
      <c r="I166">
        <v>1.33</v>
      </c>
      <c r="J166">
        <v>5.8700000000000002E-2</v>
      </c>
      <c r="L166">
        <v>7.22E-2</v>
      </c>
      <c r="N166">
        <v>2586000000</v>
      </c>
      <c r="O166">
        <v>5.55</v>
      </c>
      <c r="P166">
        <v>2024</v>
      </c>
      <c r="Q166">
        <v>31680000000</v>
      </c>
      <c r="R166">
        <v>10080000000</v>
      </c>
      <c r="S166">
        <v>7727000000</v>
      </c>
      <c r="T166">
        <v>5227000000</v>
      </c>
      <c r="U166">
        <v>27758000000</v>
      </c>
      <c r="V166">
        <v>13401000000</v>
      </c>
      <c r="W166">
        <v>2394000000</v>
      </c>
      <c r="X166">
        <v>11007000000</v>
      </c>
      <c r="Y166">
        <v>1679000000</v>
      </c>
      <c r="Z166" s="1">
        <v>46085</v>
      </c>
      <c r="AA166">
        <v>483</v>
      </c>
      <c r="AB166">
        <v>74570207</v>
      </c>
      <c r="AC166">
        <v>19.119</v>
      </c>
      <c r="AD166">
        <v>11.3287</v>
      </c>
      <c r="AE166">
        <v>9.7337000000000007</v>
      </c>
      <c r="AF166">
        <v>-0.20469999999999999</v>
      </c>
      <c r="AG166">
        <v>19.118980513379995</v>
      </c>
      <c r="AH166">
        <v>11.328661385334145</v>
      </c>
      <c r="AI166">
        <v>9.7337300025584845</v>
      </c>
      <c r="AJ166">
        <v>13.966309621719788</v>
      </c>
      <c r="AK166">
        <v>3.5709777269841272</v>
      </c>
    </row>
    <row r="167" spans="1:37" x14ac:dyDescent="0.35">
      <c r="A167">
        <v>150</v>
      </c>
      <c r="B167" t="s">
        <v>352</v>
      </c>
      <c r="C167" t="s">
        <v>353</v>
      </c>
      <c r="D167" t="s">
        <v>62</v>
      </c>
      <c r="E167" t="s">
        <v>39</v>
      </c>
      <c r="F167">
        <v>2205620736</v>
      </c>
      <c r="G167">
        <v>0</v>
      </c>
      <c r="H167">
        <v>0.1075</v>
      </c>
      <c r="I167">
        <v>0</v>
      </c>
      <c r="J167">
        <v>6.3200000000000006E-2</v>
      </c>
      <c r="L167">
        <v>0.28399999999999997</v>
      </c>
      <c r="N167">
        <v>67200000</v>
      </c>
      <c r="O167">
        <v>0</v>
      </c>
      <c r="P167">
        <v>2024</v>
      </c>
      <c r="Q167">
        <v>895900000</v>
      </c>
      <c r="R167">
        <v>0</v>
      </c>
      <c r="S167">
        <v>0</v>
      </c>
      <c r="T167">
        <v>65500000</v>
      </c>
      <c r="U167">
        <v>4290100000</v>
      </c>
      <c r="V167">
        <v>84700000</v>
      </c>
      <c r="W167">
        <v>1294300000</v>
      </c>
      <c r="X167">
        <v>-1209600000</v>
      </c>
      <c r="Y167">
        <v>56600000</v>
      </c>
      <c r="Z167" s="1">
        <v>46085</v>
      </c>
      <c r="AA167">
        <v>2145</v>
      </c>
      <c r="AB167">
        <v>85344276</v>
      </c>
      <c r="AC167">
        <v>16.990300000000001</v>
      </c>
      <c r="AD167">
        <v>1</v>
      </c>
      <c r="AE167">
        <v>19.4117</v>
      </c>
      <c r="AF167">
        <v>0.15049999999999999</v>
      </c>
      <c r="AG167">
        <v>16.990302148680172</v>
      </c>
      <c r="AH167">
        <v>1</v>
      </c>
      <c r="AI167">
        <v>19.411656553748074</v>
      </c>
      <c r="AJ167">
        <v>12.91961782559649</v>
      </c>
      <c r="AK167" t="e">
        <v>#NUM!</v>
      </c>
    </row>
    <row r="168" spans="1:37" x14ac:dyDescent="0.35">
      <c r="A168">
        <v>157</v>
      </c>
      <c r="B168" t="s">
        <v>366</v>
      </c>
      <c r="C168" t="s">
        <v>367</v>
      </c>
      <c r="D168" t="s">
        <v>62</v>
      </c>
      <c r="E168" t="s">
        <v>43</v>
      </c>
      <c r="F168">
        <v>3064572416</v>
      </c>
      <c r="G168">
        <v>0.50160000000000005</v>
      </c>
      <c r="H168">
        <v>4.0599999999999997E-2</v>
      </c>
      <c r="I168">
        <v>5.04</v>
      </c>
      <c r="J168">
        <v>0</v>
      </c>
      <c r="L168">
        <v>7.1599999999999997E-2</v>
      </c>
      <c r="N168">
        <v>0</v>
      </c>
      <c r="O168">
        <v>0</v>
      </c>
      <c r="P168">
        <v>2024</v>
      </c>
      <c r="Q168">
        <v>558978000</v>
      </c>
      <c r="R168">
        <v>280370000</v>
      </c>
      <c r="S168">
        <v>280370000</v>
      </c>
      <c r="T168">
        <v>155790000</v>
      </c>
      <c r="U168">
        <v>5197211000</v>
      </c>
      <c r="V168">
        <v>1703230000</v>
      </c>
      <c r="W168">
        <v>290790000</v>
      </c>
      <c r="X168">
        <v>1412440000</v>
      </c>
      <c r="Y168">
        <v>0</v>
      </c>
      <c r="Z168" s="1">
        <v>46085</v>
      </c>
      <c r="AA168">
        <v>17.8</v>
      </c>
      <c r="AB168">
        <v>172155517</v>
      </c>
      <c r="AC168">
        <v>13.7464</v>
      </c>
      <c r="AD168">
        <v>17.302299999999999</v>
      </c>
      <c r="AE168">
        <v>5.2641</v>
      </c>
      <c r="AF168">
        <v>-2.3652000000000002</v>
      </c>
      <c r="AG168">
        <v>13.746370882201404</v>
      </c>
      <c r="AH168">
        <v>17.302254722730044</v>
      </c>
      <c r="AI168">
        <v>5.2641403614548921</v>
      </c>
      <c r="AJ168">
        <v>12.268466878136042</v>
      </c>
      <c r="AK168">
        <v>10.930457666654778</v>
      </c>
    </row>
    <row r="169" spans="1:37" x14ac:dyDescent="0.35">
      <c r="A169">
        <v>163</v>
      </c>
      <c r="B169" t="s">
        <v>378</v>
      </c>
      <c r="C169" t="s">
        <v>379</v>
      </c>
      <c r="D169" t="s">
        <v>49</v>
      </c>
      <c r="E169" t="s">
        <v>82</v>
      </c>
      <c r="F169">
        <v>14194310144</v>
      </c>
      <c r="G169">
        <v>0.2412</v>
      </c>
      <c r="H169">
        <v>1.9800000000000002E-2</v>
      </c>
      <c r="I169">
        <v>-0.09</v>
      </c>
      <c r="J169">
        <v>6.7000000000000004E-2</v>
      </c>
      <c r="L169">
        <v>4.0399999999999998E-2</v>
      </c>
      <c r="N169">
        <v>158135000</v>
      </c>
      <c r="O169">
        <v>18.79</v>
      </c>
      <c r="P169">
        <v>2024</v>
      </c>
      <c r="Q169">
        <v>2503900000</v>
      </c>
      <c r="R169">
        <v>726154000</v>
      </c>
      <c r="S169">
        <v>581223000</v>
      </c>
      <c r="T169">
        <v>388316000</v>
      </c>
      <c r="U169">
        <v>3618997000</v>
      </c>
      <c r="V169">
        <v>413891000</v>
      </c>
      <c r="W169">
        <v>375493000</v>
      </c>
      <c r="X169">
        <v>38398000</v>
      </c>
      <c r="Y169">
        <v>167768000</v>
      </c>
      <c r="Z169" s="1">
        <v>46085</v>
      </c>
      <c r="AA169">
        <v>89.04</v>
      </c>
      <c r="AB169">
        <v>159450805</v>
      </c>
      <c r="AC169">
        <v>12.7378</v>
      </c>
      <c r="AD169">
        <v>8.8391000000000002</v>
      </c>
      <c r="AE169">
        <v>21.0885</v>
      </c>
      <c r="AF169">
        <v>0.37119999999999997</v>
      </c>
      <c r="AG169">
        <v>12.737794344940442</v>
      </c>
      <c r="AH169">
        <v>8.8391224862888489</v>
      </c>
      <c r="AI169">
        <v>21.088481471358957</v>
      </c>
      <c r="AJ169">
        <v>14.073398925270517</v>
      </c>
      <c r="AK169">
        <v>19.547244997617586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68AC-4791-4F2E-A169-AB771ADFB2ED}">
  <dimension ref="A1:B19"/>
  <sheetViews>
    <sheetView zoomScale="78" workbookViewId="0">
      <selection activeCell="F5" sqref="F5"/>
    </sheetView>
  </sheetViews>
  <sheetFormatPr defaultRowHeight="14.5" x14ac:dyDescent="0.35"/>
  <cols>
    <col min="1" max="1" width="15" bestFit="1" customWidth="1"/>
    <col min="2" max="2" width="9.7265625" bestFit="1" customWidth="1"/>
  </cols>
  <sheetData>
    <row r="1" spans="1:2" x14ac:dyDescent="0.35">
      <c r="A1" t="s">
        <v>473</v>
      </c>
      <c r="B1" t="s">
        <v>474</v>
      </c>
    </row>
    <row r="2" spans="1:2" x14ac:dyDescent="0.35">
      <c r="A2" t="s">
        <v>475</v>
      </c>
      <c r="B2">
        <v>0.21</v>
      </c>
    </row>
    <row r="3" spans="1:2" x14ac:dyDescent="0.35">
      <c r="A3" t="s">
        <v>43</v>
      </c>
      <c r="B3">
        <v>0.25</v>
      </c>
    </row>
    <row r="4" spans="1:2" x14ac:dyDescent="0.35">
      <c r="A4" t="s">
        <v>32</v>
      </c>
      <c r="B4">
        <v>0.29899999999999999</v>
      </c>
    </row>
    <row r="5" spans="1:2" x14ac:dyDescent="0.35">
      <c r="A5" t="s">
        <v>39</v>
      </c>
      <c r="B5">
        <v>0.25</v>
      </c>
    </row>
    <row r="6" spans="1:2" x14ac:dyDescent="0.35">
      <c r="A6" t="s">
        <v>476</v>
      </c>
      <c r="B6">
        <v>0.26500000000000001</v>
      </c>
    </row>
    <row r="7" spans="1:2" x14ac:dyDescent="0.35">
      <c r="A7" t="s">
        <v>477</v>
      </c>
      <c r="B7">
        <v>0.34</v>
      </c>
    </row>
    <row r="8" spans="1:2" x14ac:dyDescent="0.35">
      <c r="A8" t="s">
        <v>69</v>
      </c>
      <c r="B8">
        <v>0.25</v>
      </c>
    </row>
    <row r="9" spans="1:2" x14ac:dyDescent="0.35">
      <c r="A9" t="s">
        <v>250</v>
      </c>
      <c r="B9">
        <v>0</v>
      </c>
    </row>
    <row r="10" spans="1:2" x14ac:dyDescent="0.35">
      <c r="A10" t="s">
        <v>217</v>
      </c>
      <c r="B10">
        <v>0.22</v>
      </c>
    </row>
    <row r="11" spans="1:2" x14ac:dyDescent="0.35">
      <c r="A11" t="s">
        <v>167</v>
      </c>
      <c r="B11">
        <v>0</v>
      </c>
    </row>
    <row r="12" spans="1:2" x14ac:dyDescent="0.35">
      <c r="A12" t="s">
        <v>146</v>
      </c>
      <c r="B12">
        <v>0.09</v>
      </c>
    </row>
    <row r="13" spans="1:2" x14ac:dyDescent="0.35">
      <c r="A13" t="s">
        <v>50</v>
      </c>
      <c r="B13">
        <v>0.24</v>
      </c>
    </row>
    <row r="14" spans="1:2" x14ac:dyDescent="0.35">
      <c r="A14" t="s">
        <v>59</v>
      </c>
      <c r="B14">
        <v>0.24940000000000001</v>
      </c>
    </row>
    <row r="15" spans="1:2" x14ac:dyDescent="0.35">
      <c r="A15" t="s">
        <v>109</v>
      </c>
      <c r="B15">
        <v>0.25800000000000001</v>
      </c>
    </row>
    <row r="16" spans="1:2" x14ac:dyDescent="0.35">
      <c r="A16" t="s">
        <v>200</v>
      </c>
      <c r="B16">
        <v>0.22</v>
      </c>
    </row>
    <row r="17" spans="1:2" x14ac:dyDescent="0.35">
      <c r="A17" t="s">
        <v>36</v>
      </c>
      <c r="B17">
        <v>0.25</v>
      </c>
    </row>
    <row r="18" spans="1:2" x14ac:dyDescent="0.35">
      <c r="A18" t="s">
        <v>197</v>
      </c>
      <c r="B18">
        <v>0.20599999999999999</v>
      </c>
    </row>
    <row r="19" spans="1:2" x14ac:dyDescent="0.35">
      <c r="A19" t="s">
        <v>82</v>
      </c>
      <c r="B19">
        <v>0.14799999999999999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660D-FB4F-4368-875C-0C0CED23873F}">
  <dimension ref="A1:H12"/>
  <sheetViews>
    <sheetView zoomScale="84" workbookViewId="0">
      <selection activeCell="A2" sqref="A2:B12"/>
    </sheetView>
  </sheetViews>
  <sheetFormatPr defaultRowHeight="14.5" x14ac:dyDescent="0.35"/>
  <cols>
    <col min="1" max="1" width="21.1796875" bestFit="1" customWidth="1"/>
    <col min="2" max="2" width="22.36328125" customWidth="1"/>
    <col min="3" max="3" width="15.453125" bestFit="1" customWidth="1"/>
    <col min="4" max="4" width="14.453125" bestFit="1" customWidth="1"/>
    <col min="5" max="5" width="22.453125" bestFit="1" customWidth="1"/>
    <col min="6" max="6" width="18.1796875" bestFit="1" customWidth="1"/>
    <col min="7" max="7" width="20.90625" bestFit="1" customWidth="1"/>
    <col min="8" max="8" width="12.81640625" bestFit="1" customWidth="1"/>
  </cols>
  <sheetData>
    <row r="1" spans="1:8" x14ac:dyDescent="0.35">
      <c r="A1" t="s">
        <v>12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471</v>
      </c>
      <c r="H1" t="s">
        <v>472</v>
      </c>
    </row>
    <row r="2" spans="1:8" x14ac:dyDescent="0.35">
      <c r="A2" t="s">
        <v>91</v>
      </c>
      <c r="B2">
        <v>15.5</v>
      </c>
      <c r="C2">
        <v>0.12</v>
      </c>
      <c r="D2">
        <v>3</v>
      </c>
      <c r="E2">
        <v>0.02</v>
      </c>
      <c r="F2">
        <v>0.04</v>
      </c>
      <c r="G2">
        <v>0.25</v>
      </c>
      <c r="H2">
        <v>1.2</v>
      </c>
    </row>
    <row r="3" spans="1:8" x14ac:dyDescent="0.35">
      <c r="A3" t="s">
        <v>49</v>
      </c>
      <c r="B3">
        <v>13</v>
      </c>
      <c r="C3">
        <v>7.0000000000000007E-2</v>
      </c>
      <c r="D3">
        <v>4</v>
      </c>
      <c r="E3">
        <v>0.03</v>
      </c>
      <c r="F3">
        <v>0.05</v>
      </c>
      <c r="G3">
        <v>0.2</v>
      </c>
      <c r="H3">
        <v>0.85</v>
      </c>
    </row>
    <row r="4" spans="1:8" x14ac:dyDescent="0.35">
      <c r="A4" t="s">
        <v>42</v>
      </c>
      <c r="B4">
        <v>9</v>
      </c>
      <c r="C4">
        <v>0.04</v>
      </c>
      <c r="D4">
        <v>4.5</v>
      </c>
      <c r="E4">
        <v>0.01</v>
      </c>
      <c r="F4">
        <v>0.12</v>
      </c>
      <c r="G4">
        <v>0.3</v>
      </c>
      <c r="H4">
        <v>1.05</v>
      </c>
    </row>
    <row r="5" spans="1:8" x14ac:dyDescent="0.35">
      <c r="A5" t="s">
        <v>35</v>
      </c>
      <c r="B5">
        <v>10.5</v>
      </c>
      <c r="C5">
        <v>0.05</v>
      </c>
      <c r="D5">
        <v>3.5</v>
      </c>
      <c r="E5">
        <v>0.06</v>
      </c>
      <c r="F5">
        <v>0.03</v>
      </c>
      <c r="G5">
        <v>0.15</v>
      </c>
      <c r="H5">
        <v>1.1499999999999999</v>
      </c>
    </row>
    <row r="6" spans="1:8" x14ac:dyDescent="0.35">
      <c r="A6" t="s">
        <v>58</v>
      </c>
      <c r="B6">
        <v>11</v>
      </c>
      <c r="C6">
        <v>0.03</v>
      </c>
      <c r="D6">
        <v>4.5</v>
      </c>
      <c r="E6">
        <v>0.04</v>
      </c>
      <c r="F6">
        <v>2.5000000000000001E-2</v>
      </c>
      <c r="G6">
        <v>0.12</v>
      </c>
      <c r="H6">
        <v>0.65</v>
      </c>
    </row>
    <row r="7" spans="1:8" x14ac:dyDescent="0.35">
      <c r="A7" t="s">
        <v>62</v>
      </c>
      <c r="B7">
        <v>10</v>
      </c>
      <c r="C7">
        <v>0.04</v>
      </c>
      <c r="D7">
        <v>7</v>
      </c>
      <c r="E7">
        <v>0</v>
      </c>
      <c r="F7">
        <v>0.01</v>
      </c>
      <c r="G7">
        <v>0.4</v>
      </c>
      <c r="H7">
        <v>1.1000000000000001</v>
      </c>
    </row>
    <row r="8" spans="1:8" x14ac:dyDescent="0.35">
      <c r="A8" t="s">
        <v>31</v>
      </c>
      <c r="B8">
        <v>9.5</v>
      </c>
      <c r="C8">
        <v>3.5000000000000003E-2</v>
      </c>
      <c r="D8">
        <v>3.5</v>
      </c>
      <c r="E8">
        <v>0.08</v>
      </c>
      <c r="F8">
        <v>0.06</v>
      </c>
      <c r="G8">
        <v>0.18</v>
      </c>
      <c r="H8">
        <v>1</v>
      </c>
    </row>
    <row r="9" spans="1:8" x14ac:dyDescent="0.35">
      <c r="A9" t="s">
        <v>192</v>
      </c>
      <c r="B9">
        <v>6</v>
      </c>
      <c r="C9">
        <v>0.02</v>
      </c>
      <c r="D9">
        <v>2.5</v>
      </c>
      <c r="E9">
        <v>0.03</v>
      </c>
      <c r="F9">
        <v>0.15</v>
      </c>
      <c r="G9">
        <v>0.35</v>
      </c>
      <c r="H9">
        <v>1.1000000000000001</v>
      </c>
    </row>
    <row r="10" spans="1:8" x14ac:dyDescent="0.35">
      <c r="A10" t="s">
        <v>106</v>
      </c>
      <c r="B10">
        <v>7.5</v>
      </c>
      <c r="C10">
        <v>2.5000000000000001E-2</v>
      </c>
      <c r="D10">
        <v>3</v>
      </c>
      <c r="E10">
        <v>0.1</v>
      </c>
      <c r="F10">
        <v>0.08</v>
      </c>
      <c r="G10">
        <v>0.22</v>
      </c>
      <c r="H10">
        <v>1.25</v>
      </c>
    </row>
    <row r="11" spans="1:8" x14ac:dyDescent="0.35">
      <c r="A11" t="s">
        <v>46</v>
      </c>
      <c r="B11">
        <v>16</v>
      </c>
      <c r="C11">
        <v>0.03</v>
      </c>
      <c r="D11">
        <v>8</v>
      </c>
      <c r="E11">
        <v>0.01</v>
      </c>
      <c r="F11">
        <v>0.05</v>
      </c>
      <c r="G11">
        <v>0.6</v>
      </c>
      <c r="H11">
        <v>0.7</v>
      </c>
    </row>
    <row r="12" spans="1:8" x14ac:dyDescent="0.35">
      <c r="A12" t="s">
        <v>53</v>
      </c>
      <c r="B12">
        <v>10</v>
      </c>
      <c r="C12">
        <v>0.02</v>
      </c>
      <c r="D12">
        <v>6</v>
      </c>
      <c r="E12">
        <v>0.02</v>
      </c>
      <c r="F12">
        <v>0.2</v>
      </c>
      <c r="G12">
        <v>0.38</v>
      </c>
      <c r="H12">
        <v>0.5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08B51-F09D-40CB-8C01-C8C74591D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Admin_Inputs</vt:lpstr>
      <vt:lpstr>Setup</vt:lpstr>
      <vt:lpstr>LBO_Temp</vt:lpstr>
      <vt:lpstr>dim_company</vt:lpstr>
      <vt:lpstr>country_tax</vt:lpstr>
      <vt:lpstr>sector_benchmarks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Plotnikov</dc:creator>
  <cp:lastModifiedBy>Andrii Plotnikov</cp:lastModifiedBy>
  <dcterms:created xsi:type="dcterms:W3CDTF">2026-03-04T15:50:23Z</dcterms:created>
  <dcterms:modified xsi:type="dcterms:W3CDTF">2026-03-23T11:25:39Z</dcterms:modified>
</cp:coreProperties>
</file>